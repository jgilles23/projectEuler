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eamdc-my.sharepoint.com/personal/jgilles_stream-dc_com/Documents/Documents/GitHub/projectEuler/"/>
    </mc:Choice>
  </mc:AlternateContent>
  <xr:revisionPtr revIDLastSave="0" documentId="8_{1F9248BB-9138-40E1-9A09-7D2CC5C338C5}" xr6:coauthVersionLast="47" xr6:coauthVersionMax="47" xr10:uidLastSave="{00000000-0000-0000-0000-000000000000}"/>
  <bookViews>
    <workbookView xWindow="-28920" yWindow="-120" windowWidth="29040" windowHeight="15720" xr2:uid="{4A36F2D2-BAE0-454F-8041-C6EB94CDC41C}"/>
  </bookViews>
  <sheets>
    <sheet name="Sheet3" sheetId="1" r:id="rId1"/>
  </sheets>
  <definedNames>
    <definedName name="n_to_dc">Sheet3!$AA$1:$AB$34</definedName>
    <definedName name="nc">Sheet3!$B$2:$F$349</definedName>
    <definedName name="ndc">Sheet3!$AA$1:$AB$265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45" i="1" l="1"/>
  <c r="AU30" i="1"/>
  <c r="AU31" i="1" s="1"/>
  <c r="AU32" i="1" s="1"/>
  <c r="AU33" i="1" s="1"/>
  <c r="AU34" i="1" s="1"/>
  <c r="AU35" i="1" s="1"/>
  <c r="AU36" i="1" s="1"/>
  <c r="AU37" i="1" s="1"/>
  <c r="AU38" i="1" s="1"/>
  <c r="AU39" i="1" s="1"/>
  <c r="AU40" i="1" s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53" i="1" s="1"/>
  <c r="AU54" i="1" s="1"/>
  <c r="AU55" i="1" s="1"/>
  <c r="AU56" i="1" s="1"/>
  <c r="AU57" i="1" s="1"/>
  <c r="AU58" i="1" s="1"/>
  <c r="AU59" i="1" s="1"/>
  <c r="AU60" i="1" s="1"/>
  <c r="AU61" i="1" s="1"/>
  <c r="AU62" i="1" s="1"/>
  <c r="AU63" i="1" s="1"/>
  <c r="AU64" i="1" s="1"/>
  <c r="AU65" i="1" s="1"/>
  <c r="AU66" i="1" s="1"/>
  <c r="AU67" i="1" s="1"/>
  <c r="AU68" i="1" s="1"/>
  <c r="AU69" i="1" s="1"/>
  <c r="AU70" i="1" s="1"/>
  <c r="AU71" i="1" s="1"/>
  <c r="AU72" i="1" s="1"/>
  <c r="AU73" i="1" s="1"/>
  <c r="AU74" i="1" s="1"/>
  <c r="AU75" i="1" s="1"/>
  <c r="AU76" i="1" s="1"/>
  <c r="AU77" i="1" s="1"/>
  <c r="AU78" i="1" s="1"/>
  <c r="AU79" i="1" s="1"/>
  <c r="AU80" i="1" s="1"/>
  <c r="AU81" i="1" s="1"/>
  <c r="AU82" i="1" s="1"/>
  <c r="AU83" i="1" s="1"/>
  <c r="AU84" i="1" s="1"/>
  <c r="AU85" i="1" s="1"/>
  <c r="AU86" i="1" s="1"/>
  <c r="AU87" i="1" s="1"/>
  <c r="AU88" i="1" s="1"/>
  <c r="AU89" i="1" s="1"/>
  <c r="AU90" i="1" s="1"/>
  <c r="AU91" i="1" s="1"/>
  <c r="AU92" i="1" s="1"/>
  <c r="AU93" i="1" s="1"/>
  <c r="AU94" i="1" s="1"/>
  <c r="AU95" i="1" s="1"/>
  <c r="AU96" i="1" s="1"/>
  <c r="AU97" i="1" s="1"/>
  <c r="AU98" i="1" s="1"/>
  <c r="AU99" i="1" s="1"/>
  <c r="AU100" i="1" s="1"/>
  <c r="AU101" i="1" s="1"/>
  <c r="AU102" i="1" s="1"/>
  <c r="AU103" i="1" s="1"/>
  <c r="AU104" i="1" s="1"/>
  <c r="AU105" i="1" s="1"/>
  <c r="AU106" i="1" s="1"/>
  <c r="AU107" i="1" s="1"/>
  <c r="AU108" i="1" s="1"/>
  <c r="AU109" i="1" s="1"/>
  <c r="AU110" i="1" s="1"/>
  <c r="AU111" i="1" s="1"/>
  <c r="AU112" i="1" s="1"/>
  <c r="AU113" i="1" s="1"/>
  <c r="AU114" i="1" s="1"/>
  <c r="AU115" i="1" s="1"/>
  <c r="AU116" i="1" s="1"/>
  <c r="AU117" i="1" s="1"/>
  <c r="AU118" i="1" s="1"/>
  <c r="AU119" i="1" s="1"/>
  <c r="AU120" i="1" s="1"/>
  <c r="AU121" i="1" s="1"/>
  <c r="AU122" i="1" s="1"/>
  <c r="AU123" i="1" s="1"/>
  <c r="AU124" i="1" s="1"/>
  <c r="AU125" i="1" s="1"/>
  <c r="AU126" i="1" s="1"/>
  <c r="AU127" i="1" s="1"/>
  <c r="AU128" i="1" s="1"/>
  <c r="AU129" i="1" s="1"/>
  <c r="AU130" i="1" s="1"/>
  <c r="AU131" i="1" s="1"/>
  <c r="AU132" i="1" s="1"/>
  <c r="AU133" i="1" s="1"/>
  <c r="AU134" i="1" s="1"/>
  <c r="AU135" i="1" s="1"/>
  <c r="AU136" i="1" s="1"/>
  <c r="AU137" i="1" s="1"/>
  <c r="AU138" i="1" s="1"/>
  <c r="AU139" i="1" s="1"/>
  <c r="AU140" i="1" s="1"/>
  <c r="AU141" i="1" s="1"/>
  <c r="AU142" i="1" s="1"/>
  <c r="AU143" i="1" s="1"/>
  <c r="AU144" i="1" s="1"/>
  <c r="AU145" i="1" s="1"/>
  <c r="AU146" i="1" s="1"/>
  <c r="AU147" i="1" s="1"/>
  <c r="AU148" i="1" s="1"/>
  <c r="AU149" i="1" s="1"/>
  <c r="AU150" i="1" s="1"/>
  <c r="AU151" i="1" s="1"/>
  <c r="AU152" i="1" s="1"/>
  <c r="AU153" i="1" s="1"/>
  <c r="AU154" i="1" s="1"/>
  <c r="AU155" i="1" s="1"/>
  <c r="AU29" i="1"/>
  <c r="AT29" i="1"/>
  <c r="AG29" i="1"/>
  <c r="AT28" i="1"/>
  <c r="AG28" i="1"/>
  <c r="AV24" i="1"/>
  <c r="AV25" i="1" s="1"/>
  <c r="AV26" i="1" s="1"/>
  <c r="AV27" i="1" s="1"/>
  <c r="AV28" i="1" s="1"/>
  <c r="AV23" i="1"/>
  <c r="K5" i="1"/>
  <c r="Q5" i="1" s="1"/>
  <c r="R5" i="1" s="1"/>
  <c r="F4" i="1"/>
  <c r="B4" i="1"/>
  <c r="B5" i="1" s="1"/>
  <c r="S5" i="1" s="1"/>
  <c r="T5" i="1" s="1"/>
  <c r="AT3" i="1"/>
  <c r="AT4" i="1" s="1"/>
  <c r="AT5" i="1" s="1"/>
  <c r="AT6" i="1" s="1"/>
  <c r="AT7" i="1" s="1"/>
  <c r="AT8" i="1" s="1"/>
  <c r="AT9" i="1" s="1"/>
  <c r="AT10" i="1" s="1"/>
  <c r="AT11" i="1" s="1"/>
  <c r="AT12" i="1" s="1"/>
  <c r="AT13" i="1" s="1"/>
  <c r="AG3" i="1"/>
  <c r="F3" i="1"/>
  <c r="B3" i="1"/>
  <c r="U5" i="1" l="1"/>
  <c r="AJ28" i="1"/>
  <c r="AK28" i="1" s="1"/>
  <c r="AL28" i="1" s="1"/>
  <c r="AM28" i="1" s="1"/>
  <c r="AE29" i="1" s="1"/>
  <c r="E4" i="1"/>
  <c r="B6" i="1"/>
  <c r="L5" i="1"/>
  <c r="X5" i="1" s="1"/>
  <c r="M5" i="1"/>
  <c r="N5" i="1" s="1"/>
  <c r="W5" i="1" s="1"/>
  <c r="O5" i="1"/>
  <c r="AH29" i="1" l="1"/>
  <c r="AV29" i="1"/>
  <c r="D5" i="1"/>
  <c r="C5" i="1"/>
  <c r="F5" i="1" s="1"/>
  <c r="B7" i="1"/>
  <c r="B8" i="1" l="1"/>
  <c r="AA4" i="1"/>
  <c r="K6" i="1"/>
  <c r="E5" i="1"/>
  <c r="AH30" i="1"/>
  <c r="AO29" i="1"/>
  <c r="AP29" i="1" s="1"/>
  <c r="AQ29" i="1" s="1"/>
  <c r="AR29" i="1" s="1"/>
  <c r="AE30" i="1" s="1"/>
  <c r="L6" i="1" l="1"/>
  <c r="O6" i="1" s="1"/>
  <c r="Q6" i="1"/>
  <c r="M6" i="1"/>
  <c r="N6" i="1" s="1"/>
  <c r="AG30" i="1"/>
  <c r="AV30" i="1"/>
  <c r="AT30" i="1"/>
  <c r="AT31" i="1" s="1"/>
  <c r="B9" i="1"/>
  <c r="AG31" i="1" l="1"/>
  <c r="AJ30" i="1"/>
  <c r="AK30" i="1" s="1"/>
  <c r="AL30" i="1" s="1"/>
  <c r="AM30" i="1" s="1"/>
  <c r="AE31" i="1" s="1"/>
  <c r="B10" i="1"/>
  <c r="W6" i="1"/>
  <c r="R6" i="1"/>
  <c r="X6" i="1" s="1"/>
  <c r="S6" i="1"/>
  <c r="T6" i="1" s="1"/>
  <c r="AV31" i="1" l="1"/>
  <c r="AH31" i="1"/>
  <c r="U6" i="1"/>
  <c r="B11" i="1"/>
  <c r="B12" i="1" l="1"/>
  <c r="C6" i="1"/>
  <c r="F6" i="1" s="1"/>
  <c r="D6" i="1"/>
  <c r="AO31" i="1"/>
  <c r="AP31" i="1" s="1"/>
  <c r="AQ31" i="1" s="1"/>
  <c r="AR31" i="1" s="1"/>
  <c r="AE32" i="1" s="1"/>
  <c r="AH32" i="1"/>
  <c r="K7" i="1" l="1"/>
  <c r="E6" i="1"/>
  <c r="AA5" i="1"/>
  <c r="AG32" i="1"/>
  <c r="AV32" i="1"/>
  <c r="AT32" i="1"/>
  <c r="AT33" i="1" s="1"/>
  <c r="B13" i="1"/>
  <c r="AG33" i="1" l="1"/>
  <c r="AJ32" i="1"/>
  <c r="AK32" i="1" s="1"/>
  <c r="AL32" i="1" s="1"/>
  <c r="AM32" i="1" s="1"/>
  <c r="AE33" i="1" s="1"/>
  <c r="B14" i="1"/>
  <c r="L7" i="1"/>
  <c r="Q7" i="1"/>
  <c r="M7" i="1"/>
  <c r="N7" i="1" s="1"/>
  <c r="AH33" i="1" l="1"/>
  <c r="AV33" i="1"/>
  <c r="R7" i="1"/>
  <c r="X7" i="1" s="1"/>
  <c r="S7" i="1"/>
  <c r="T7" i="1" s="1"/>
  <c r="B15" i="1"/>
  <c r="W7" i="1"/>
  <c r="O7" i="1"/>
  <c r="B16" i="1" l="1"/>
  <c r="U7" i="1"/>
  <c r="D7" i="1"/>
  <c r="C7" i="1"/>
  <c r="F7" i="1" s="1"/>
  <c r="AH34" i="1"/>
  <c r="AO33" i="1"/>
  <c r="AP33" i="1" s="1"/>
  <c r="AQ33" i="1" s="1"/>
  <c r="AR33" i="1" s="1"/>
  <c r="AE34" i="1" s="1"/>
  <c r="AA6" i="1" l="1"/>
  <c r="K8" i="1"/>
  <c r="E7" i="1"/>
  <c r="AG34" i="1"/>
  <c r="AT34" i="1"/>
  <c r="AT35" i="1" s="1"/>
  <c r="AV34" i="1"/>
  <c r="B17" i="1"/>
  <c r="B18" i="1" l="1"/>
  <c r="AG35" i="1"/>
  <c r="AJ34" i="1"/>
  <c r="AK34" i="1" s="1"/>
  <c r="AL34" i="1" s="1"/>
  <c r="AM34" i="1" s="1"/>
  <c r="AE35" i="1" s="1"/>
  <c r="Q8" i="1"/>
  <c r="L8" i="1"/>
  <c r="O8" i="1" s="1"/>
  <c r="M8" i="1"/>
  <c r="N8" i="1" s="1"/>
  <c r="AV35" i="1" l="1"/>
  <c r="AH35" i="1"/>
  <c r="B19" i="1"/>
  <c r="R8" i="1"/>
  <c r="X8" i="1" s="1"/>
  <c r="S8" i="1"/>
  <c r="T8" i="1" s="1"/>
  <c r="W8" i="1" s="1"/>
  <c r="U8" i="1" l="1"/>
  <c r="B20" i="1"/>
  <c r="AH36" i="1"/>
  <c r="AO35" i="1"/>
  <c r="AP35" i="1" s="1"/>
  <c r="AQ35" i="1" s="1"/>
  <c r="AR35" i="1" s="1"/>
  <c r="AE36" i="1" s="1"/>
  <c r="AV36" i="1" l="1"/>
  <c r="AG36" i="1"/>
  <c r="AT36" i="1"/>
  <c r="AT37" i="1" s="1"/>
  <c r="B21" i="1"/>
  <c r="D8" i="1"/>
  <c r="C8" i="1"/>
  <c r="F8" i="1" s="1"/>
  <c r="K9" i="1" l="1"/>
  <c r="E8" i="1"/>
  <c r="AG37" i="1"/>
  <c r="AJ36" i="1"/>
  <c r="AK36" i="1" s="1"/>
  <c r="AL36" i="1" s="1"/>
  <c r="AM36" i="1" s="1"/>
  <c r="AE37" i="1" s="1"/>
  <c r="AA7" i="1"/>
  <c r="B22" i="1"/>
  <c r="AH37" i="1" l="1"/>
  <c r="AV37" i="1"/>
  <c r="L9" i="1"/>
  <c r="O9" i="1" s="1"/>
  <c r="Q9" i="1"/>
  <c r="M9" i="1"/>
  <c r="N9" i="1" s="1"/>
  <c r="B23" i="1"/>
  <c r="B24" i="1" l="1"/>
  <c r="R9" i="1"/>
  <c r="X9" i="1" s="1"/>
  <c r="S9" i="1"/>
  <c r="T9" i="1" s="1"/>
  <c r="W9" i="1" s="1"/>
  <c r="AO37" i="1"/>
  <c r="AP37" i="1" s="1"/>
  <c r="AQ37" i="1" s="1"/>
  <c r="AR37" i="1" s="1"/>
  <c r="AE38" i="1" s="1"/>
  <c r="AH38" i="1"/>
  <c r="AT38" i="1" l="1"/>
  <c r="AT39" i="1" s="1"/>
  <c r="AV38" i="1"/>
  <c r="AG38" i="1"/>
  <c r="U9" i="1"/>
  <c r="B25" i="1"/>
  <c r="B26" i="1" l="1"/>
  <c r="D9" i="1"/>
  <c r="C9" i="1"/>
  <c r="F9" i="1" s="1"/>
  <c r="AG39" i="1"/>
  <c r="AJ38" i="1"/>
  <c r="AK38" i="1" s="1"/>
  <c r="AL38" i="1" s="1"/>
  <c r="AM38" i="1" s="1"/>
  <c r="AE39" i="1" s="1"/>
  <c r="AH39" i="1" l="1"/>
  <c r="AV39" i="1"/>
  <c r="K10" i="1"/>
  <c r="E9" i="1"/>
  <c r="B27" i="1"/>
  <c r="B28" i="1" l="1"/>
  <c r="Q10" i="1"/>
  <c r="L10" i="1"/>
  <c r="O10" i="1" s="1"/>
  <c r="M10" i="1"/>
  <c r="N10" i="1" s="1"/>
  <c r="AO39" i="1"/>
  <c r="AP39" i="1" s="1"/>
  <c r="AQ39" i="1" s="1"/>
  <c r="AR39" i="1" s="1"/>
  <c r="AE40" i="1" s="1"/>
  <c r="AH40" i="1"/>
  <c r="R10" i="1" l="1"/>
  <c r="X10" i="1" s="1"/>
  <c r="S10" i="1"/>
  <c r="T10" i="1" s="1"/>
  <c r="W10" i="1" s="1"/>
  <c r="AV40" i="1"/>
  <c r="AG40" i="1"/>
  <c r="AT40" i="1"/>
  <c r="AT41" i="1" s="1"/>
  <c r="B29" i="1"/>
  <c r="AJ40" i="1" l="1"/>
  <c r="AK40" i="1" s="1"/>
  <c r="AL40" i="1" s="1"/>
  <c r="AM40" i="1" s="1"/>
  <c r="AE41" i="1" s="1"/>
  <c r="AG41" i="1"/>
  <c r="B30" i="1"/>
  <c r="U10" i="1"/>
  <c r="AH41" i="1" l="1"/>
  <c r="AV41" i="1"/>
  <c r="C10" i="1"/>
  <c r="F10" i="1" s="1"/>
  <c r="D10" i="1"/>
  <c r="B31" i="1"/>
  <c r="B32" i="1" l="1"/>
  <c r="K11" i="1"/>
  <c r="E10" i="1"/>
  <c r="AH42" i="1"/>
  <c r="AO41" i="1"/>
  <c r="AP41" i="1" s="1"/>
  <c r="AQ41" i="1" s="1"/>
  <c r="AR41" i="1" s="1"/>
  <c r="AE42" i="1" s="1"/>
  <c r="Q11" i="1" l="1"/>
  <c r="L11" i="1"/>
  <c r="O11" i="1" s="1"/>
  <c r="M11" i="1"/>
  <c r="N11" i="1" s="1"/>
  <c r="AV42" i="1"/>
  <c r="AG42" i="1"/>
  <c r="AT42" i="1"/>
  <c r="AT43" i="1" s="1"/>
  <c r="B33" i="1"/>
  <c r="B34" i="1" l="1"/>
  <c r="AG43" i="1"/>
  <c r="AJ42" i="1"/>
  <c r="AK42" i="1" s="1"/>
  <c r="AL42" i="1" s="1"/>
  <c r="AM42" i="1" s="1"/>
  <c r="AE43" i="1" s="1"/>
  <c r="R11" i="1"/>
  <c r="X11" i="1" s="1"/>
  <c r="S11" i="1"/>
  <c r="T11" i="1" s="1"/>
  <c r="W11" i="1" s="1"/>
  <c r="AV43" i="1" l="1"/>
  <c r="AH43" i="1"/>
  <c r="U11" i="1"/>
  <c r="B35" i="1"/>
  <c r="B36" i="1" l="1"/>
  <c r="D11" i="1"/>
  <c r="C11" i="1"/>
  <c r="F11" i="1" s="1"/>
  <c r="AO43" i="1"/>
  <c r="AP43" i="1" s="1"/>
  <c r="AQ43" i="1" s="1"/>
  <c r="AR43" i="1" s="1"/>
  <c r="AE44" i="1" s="1"/>
  <c r="AH44" i="1"/>
  <c r="AG44" i="1" l="1"/>
  <c r="AV44" i="1"/>
  <c r="AT44" i="1"/>
  <c r="AT45" i="1" s="1"/>
  <c r="K12" i="1"/>
  <c r="E11" i="1"/>
  <c r="B37" i="1"/>
  <c r="B38" i="1" l="1"/>
  <c r="L12" i="1"/>
  <c r="O12" i="1" s="1"/>
  <c r="Q12" i="1"/>
  <c r="M12" i="1"/>
  <c r="N12" i="1" s="1"/>
  <c r="AG45" i="1"/>
  <c r="AJ44" i="1"/>
  <c r="AK44" i="1" s="1"/>
  <c r="AL44" i="1" s="1"/>
  <c r="AM44" i="1" s="1"/>
  <c r="AE45" i="1" s="1"/>
  <c r="AH45" i="1" l="1"/>
  <c r="AV45" i="1"/>
  <c r="R12" i="1"/>
  <c r="X12" i="1" s="1"/>
  <c r="S12" i="1"/>
  <c r="T12" i="1" s="1"/>
  <c r="W12" i="1" s="1"/>
  <c r="B39" i="1"/>
  <c r="B40" i="1" l="1"/>
  <c r="U12" i="1"/>
  <c r="AH46" i="1"/>
  <c r="AO45" i="1"/>
  <c r="AP45" i="1" s="1"/>
  <c r="AQ45" i="1" s="1"/>
  <c r="AR45" i="1" s="1"/>
  <c r="AE46" i="1" s="1"/>
  <c r="AG46" i="1" l="1"/>
  <c r="AT46" i="1"/>
  <c r="AT47" i="1" s="1"/>
  <c r="AV46" i="1"/>
  <c r="D12" i="1"/>
  <c r="C12" i="1"/>
  <c r="F12" i="1" s="1"/>
  <c r="B41" i="1"/>
  <c r="K13" i="1" l="1"/>
  <c r="E12" i="1"/>
  <c r="B42" i="1"/>
  <c r="AG47" i="1"/>
  <c r="AJ46" i="1"/>
  <c r="AK46" i="1" s="1"/>
  <c r="AL46" i="1" s="1"/>
  <c r="AM46" i="1" s="1"/>
  <c r="AE47" i="1" s="1"/>
  <c r="AV47" i="1" l="1"/>
  <c r="AH47" i="1"/>
  <c r="B43" i="1"/>
  <c r="Q13" i="1"/>
  <c r="L13" i="1"/>
  <c r="O13" i="1" s="1"/>
  <c r="M13" i="1"/>
  <c r="N13" i="1" s="1"/>
  <c r="B44" i="1" l="1"/>
  <c r="AO47" i="1"/>
  <c r="AP47" i="1" s="1"/>
  <c r="AQ47" i="1" s="1"/>
  <c r="AR47" i="1" s="1"/>
  <c r="AE48" i="1" s="1"/>
  <c r="AH48" i="1"/>
  <c r="R13" i="1"/>
  <c r="X13" i="1" s="1"/>
  <c r="S13" i="1"/>
  <c r="T13" i="1" s="1"/>
  <c r="W13" i="1" s="1"/>
  <c r="AT48" i="1" l="1"/>
  <c r="AT49" i="1" s="1"/>
  <c r="AV48" i="1"/>
  <c r="AG48" i="1"/>
  <c r="U13" i="1"/>
  <c r="B45" i="1"/>
  <c r="C13" i="1" l="1"/>
  <c r="F13" i="1" s="1"/>
  <c r="D13" i="1"/>
  <c r="B46" i="1"/>
  <c r="AG49" i="1"/>
  <c r="AJ48" i="1"/>
  <c r="AK48" i="1" s="1"/>
  <c r="AL48" i="1" s="1"/>
  <c r="AM48" i="1" s="1"/>
  <c r="AE49" i="1" s="1"/>
  <c r="AH49" i="1" l="1"/>
  <c r="AV49" i="1"/>
  <c r="B47" i="1"/>
  <c r="K14" i="1"/>
  <c r="E13" i="1"/>
  <c r="Q14" i="1" l="1"/>
  <c r="L14" i="1"/>
  <c r="O14" i="1" s="1"/>
  <c r="M14" i="1"/>
  <c r="N14" i="1" s="1"/>
  <c r="B48" i="1"/>
  <c r="AH50" i="1"/>
  <c r="AO49" i="1"/>
  <c r="AP49" i="1" s="1"/>
  <c r="AQ49" i="1" s="1"/>
  <c r="AR49" i="1" s="1"/>
  <c r="AE50" i="1" s="1"/>
  <c r="AG50" i="1" l="1"/>
  <c r="AV50" i="1"/>
  <c r="AT50" i="1"/>
  <c r="AT51" i="1" s="1"/>
  <c r="B49" i="1"/>
  <c r="R14" i="1"/>
  <c r="X14" i="1" s="1"/>
  <c r="S14" i="1"/>
  <c r="T14" i="1" s="1"/>
  <c r="W14" i="1" s="1"/>
  <c r="U14" i="1" l="1"/>
  <c r="B50" i="1"/>
  <c r="AG51" i="1"/>
  <c r="AJ50" i="1"/>
  <c r="AK50" i="1" s="1"/>
  <c r="AL50" i="1" s="1"/>
  <c r="AM50" i="1" s="1"/>
  <c r="AE51" i="1" s="1"/>
  <c r="AV51" i="1" l="1"/>
  <c r="AH51" i="1"/>
  <c r="B51" i="1"/>
  <c r="D14" i="1"/>
  <c r="C14" i="1"/>
  <c r="F14" i="1" s="1"/>
  <c r="K15" i="1" l="1"/>
  <c r="E14" i="1"/>
  <c r="B52" i="1"/>
  <c r="AO51" i="1"/>
  <c r="AP51" i="1" s="1"/>
  <c r="AQ51" i="1" s="1"/>
  <c r="AR51" i="1" s="1"/>
  <c r="AE52" i="1" s="1"/>
  <c r="AH52" i="1"/>
  <c r="AV52" i="1" l="1"/>
  <c r="AG52" i="1"/>
  <c r="AT52" i="1"/>
  <c r="AT53" i="1" s="1"/>
  <c r="B53" i="1"/>
  <c r="Q15" i="1"/>
  <c r="L15" i="1"/>
  <c r="O15" i="1" s="1"/>
  <c r="M15" i="1"/>
  <c r="N15" i="1" s="1"/>
  <c r="R15" i="1" l="1"/>
  <c r="X15" i="1" s="1"/>
  <c r="S15" i="1"/>
  <c r="T15" i="1" s="1"/>
  <c r="W15" i="1" s="1"/>
  <c r="B54" i="1"/>
  <c r="AJ52" i="1"/>
  <c r="AK52" i="1" s="1"/>
  <c r="AL52" i="1" s="1"/>
  <c r="AM52" i="1" s="1"/>
  <c r="AE53" i="1" s="1"/>
  <c r="AG53" i="1"/>
  <c r="AV53" i="1" l="1"/>
  <c r="AH53" i="1"/>
  <c r="B55" i="1"/>
  <c r="U15" i="1"/>
  <c r="C15" i="1" l="1"/>
  <c r="F15" i="1" s="1"/>
  <c r="D15" i="1"/>
  <c r="B56" i="1"/>
  <c r="AO53" i="1"/>
  <c r="AP53" i="1" s="1"/>
  <c r="AQ53" i="1" s="1"/>
  <c r="AR53" i="1" s="1"/>
  <c r="AE54" i="1" s="1"/>
  <c r="AH54" i="1"/>
  <c r="B57" i="1" l="1"/>
  <c r="AT54" i="1"/>
  <c r="AT55" i="1" s="1"/>
  <c r="AV54" i="1"/>
  <c r="AG54" i="1"/>
  <c r="K16" i="1"/>
  <c r="E15" i="1"/>
  <c r="L16" i="1" l="1"/>
  <c r="Q16" i="1"/>
  <c r="M16" i="1"/>
  <c r="N16" i="1" s="1"/>
  <c r="AG55" i="1"/>
  <c r="AJ54" i="1"/>
  <c r="AK54" i="1" s="1"/>
  <c r="AL54" i="1" s="1"/>
  <c r="AM54" i="1"/>
  <c r="AE55" i="1" s="1"/>
  <c r="B58" i="1"/>
  <c r="B59" i="1" l="1"/>
  <c r="AH55" i="1"/>
  <c r="AV55" i="1"/>
  <c r="R16" i="1"/>
  <c r="X16" i="1" s="1"/>
  <c r="S16" i="1"/>
  <c r="T16" i="1" s="1"/>
  <c r="W16" i="1" s="1"/>
  <c r="O16" i="1"/>
  <c r="C16" i="1" l="1"/>
  <c r="F16" i="1" s="1"/>
  <c r="U16" i="1"/>
  <c r="D16" i="1" s="1"/>
  <c r="AH56" i="1"/>
  <c r="AO55" i="1"/>
  <c r="AP55" i="1" s="1"/>
  <c r="AQ55" i="1" s="1"/>
  <c r="AR55" i="1" s="1"/>
  <c r="AE56" i="1" s="1"/>
  <c r="B60" i="1"/>
  <c r="K17" i="1" l="1"/>
  <c r="E16" i="1"/>
  <c r="B61" i="1"/>
  <c r="AV56" i="1"/>
  <c r="AT56" i="1"/>
  <c r="AT57" i="1" s="1"/>
  <c r="AG56" i="1"/>
  <c r="AJ56" i="1" l="1"/>
  <c r="AK56" i="1" s="1"/>
  <c r="AL56" i="1" s="1"/>
  <c r="AM56" i="1" s="1"/>
  <c r="AE57" i="1" s="1"/>
  <c r="AG57" i="1"/>
  <c r="B62" i="1"/>
  <c r="Q17" i="1"/>
  <c r="L17" i="1"/>
  <c r="O17" i="1" s="1"/>
  <c r="M17" i="1"/>
  <c r="N17" i="1" s="1"/>
  <c r="AV57" i="1" l="1"/>
  <c r="AH57" i="1"/>
  <c r="R17" i="1"/>
  <c r="X17" i="1" s="1"/>
  <c r="S17" i="1"/>
  <c r="T17" i="1" s="1"/>
  <c r="W17" i="1" s="1"/>
  <c r="B63" i="1"/>
  <c r="U17" i="1" l="1"/>
  <c r="AH58" i="1"/>
  <c r="AO57" i="1"/>
  <c r="AP57" i="1" s="1"/>
  <c r="AQ57" i="1" s="1"/>
  <c r="AR57" i="1" s="1"/>
  <c r="AE58" i="1" s="1"/>
  <c r="B64" i="1"/>
  <c r="D17" i="1" l="1"/>
  <c r="C17" i="1"/>
  <c r="F17" i="1" s="1"/>
  <c r="B65" i="1"/>
  <c r="AV58" i="1"/>
  <c r="AT58" i="1"/>
  <c r="AT59" i="1" s="1"/>
  <c r="AG58" i="1"/>
  <c r="AJ58" i="1" l="1"/>
  <c r="AK58" i="1" s="1"/>
  <c r="AL58" i="1" s="1"/>
  <c r="AM58" i="1" s="1"/>
  <c r="AE59" i="1" s="1"/>
  <c r="AG59" i="1"/>
  <c r="B66" i="1"/>
  <c r="K18" i="1"/>
  <c r="E17" i="1"/>
  <c r="AV59" i="1" l="1"/>
  <c r="AH59" i="1"/>
  <c r="Q18" i="1"/>
  <c r="L18" i="1"/>
  <c r="O18" i="1" s="1"/>
  <c r="M18" i="1"/>
  <c r="N18" i="1" s="1"/>
  <c r="B67" i="1"/>
  <c r="B68" i="1" l="1"/>
  <c r="R18" i="1"/>
  <c r="X18" i="1" s="1"/>
  <c r="S18" i="1"/>
  <c r="T18" i="1" s="1"/>
  <c r="W18" i="1" s="1"/>
  <c r="AO59" i="1"/>
  <c r="AP59" i="1" s="1"/>
  <c r="AQ59" i="1" s="1"/>
  <c r="AR59" i="1" s="1"/>
  <c r="AE60" i="1" s="1"/>
  <c r="AH60" i="1"/>
  <c r="AV60" i="1" l="1"/>
  <c r="AG60" i="1"/>
  <c r="AT60" i="1"/>
  <c r="AT61" i="1" s="1"/>
  <c r="U18" i="1"/>
  <c r="B69" i="1"/>
  <c r="B70" i="1" l="1"/>
  <c r="D18" i="1"/>
  <c r="C18" i="1"/>
  <c r="F18" i="1" s="1"/>
  <c r="AG61" i="1"/>
  <c r="AJ60" i="1"/>
  <c r="AK60" i="1" s="1"/>
  <c r="AL60" i="1" s="1"/>
  <c r="AM60" i="1"/>
  <c r="AE61" i="1" s="1"/>
  <c r="AV61" i="1" l="1"/>
  <c r="AH61" i="1"/>
  <c r="K19" i="1"/>
  <c r="E18" i="1"/>
  <c r="B71" i="1"/>
  <c r="B72" i="1" l="1"/>
  <c r="L19" i="1"/>
  <c r="O19" i="1" s="1"/>
  <c r="Q19" i="1"/>
  <c r="M19" i="1"/>
  <c r="N19" i="1" s="1"/>
  <c r="AH62" i="1"/>
  <c r="AO61" i="1"/>
  <c r="AP61" i="1" s="1"/>
  <c r="AQ61" i="1" s="1"/>
  <c r="AR61" i="1" s="1"/>
  <c r="AE62" i="1" s="1"/>
  <c r="AT62" i="1" l="1"/>
  <c r="AT63" i="1" s="1"/>
  <c r="AV62" i="1"/>
  <c r="AG62" i="1"/>
  <c r="B73" i="1"/>
  <c r="R19" i="1"/>
  <c r="X19" i="1" s="1"/>
  <c r="S19" i="1"/>
  <c r="T19" i="1" s="1"/>
  <c r="W19" i="1" s="1"/>
  <c r="U19" i="1" l="1"/>
  <c r="B74" i="1"/>
  <c r="AG63" i="1"/>
  <c r="AJ62" i="1"/>
  <c r="AK62" i="1" s="1"/>
  <c r="AL62" i="1" s="1"/>
  <c r="AM62" i="1" s="1"/>
  <c r="AE63" i="1" s="1"/>
  <c r="AV63" i="1" l="1"/>
  <c r="AH63" i="1"/>
  <c r="B75" i="1"/>
  <c r="C19" i="1"/>
  <c r="F19" i="1" s="1"/>
  <c r="D19" i="1"/>
  <c r="K20" i="1" l="1"/>
  <c r="E19" i="1"/>
  <c r="B76" i="1"/>
  <c r="AH64" i="1"/>
  <c r="AO63" i="1"/>
  <c r="AP63" i="1" s="1"/>
  <c r="AQ63" i="1" s="1"/>
  <c r="AR63" i="1" s="1"/>
  <c r="AE64" i="1" s="1"/>
  <c r="AT64" i="1" l="1"/>
  <c r="AT65" i="1" s="1"/>
  <c r="AG64" i="1"/>
  <c r="AV64" i="1"/>
  <c r="B77" i="1"/>
  <c r="Q20" i="1"/>
  <c r="L20" i="1"/>
  <c r="O20" i="1" s="1"/>
  <c r="M20" i="1"/>
  <c r="N20" i="1" s="1"/>
  <c r="R20" i="1" l="1"/>
  <c r="X20" i="1" s="1"/>
  <c r="S20" i="1"/>
  <c r="T20" i="1" s="1"/>
  <c r="U20" i="1" s="1"/>
  <c r="B78" i="1"/>
  <c r="AG65" i="1"/>
  <c r="AJ64" i="1"/>
  <c r="AK64" i="1" s="1"/>
  <c r="AL64" i="1" s="1"/>
  <c r="AM64" i="1" s="1"/>
  <c r="AE65" i="1" s="1"/>
  <c r="AH65" i="1" l="1"/>
  <c r="AV65" i="1"/>
  <c r="C20" i="1"/>
  <c r="F20" i="1" s="1"/>
  <c r="D20" i="1"/>
  <c r="B79" i="1"/>
  <c r="W20" i="1"/>
  <c r="B80" i="1" l="1"/>
  <c r="K21" i="1"/>
  <c r="E20" i="1"/>
  <c r="AH66" i="1"/>
  <c r="AO65" i="1"/>
  <c r="AP65" i="1" s="1"/>
  <c r="AQ65" i="1" s="1"/>
  <c r="AR65" i="1" s="1"/>
  <c r="AE66" i="1" s="1"/>
  <c r="AG66" i="1" l="1"/>
  <c r="AT66" i="1"/>
  <c r="AT67" i="1" s="1"/>
  <c r="AV66" i="1"/>
  <c r="B81" i="1"/>
  <c r="Q21" i="1"/>
  <c r="L21" i="1"/>
  <c r="O21" i="1" s="1"/>
  <c r="M21" i="1"/>
  <c r="N21" i="1" s="1"/>
  <c r="AG67" i="1" l="1"/>
  <c r="AJ66" i="1"/>
  <c r="AK66" i="1" s="1"/>
  <c r="AL66" i="1" s="1"/>
  <c r="AM66" i="1" s="1"/>
  <c r="AE67" i="1" s="1"/>
  <c r="R21" i="1"/>
  <c r="X21" i="1" s="1"/>
  <c r="S21" i="1"/>
  <c r="T21" i="1" s="1"/>
  <c r="W21" i="1" s="1"/>
  <c r="B82" i="1"/>
  <c r="AH67" i="1" l="1"/>
  <c r="AV67" i="1"/>
  <c r="B83" i="1"/>
  <c r="U21" i="1"/>
  <c r="AO67" i="1" l="1"/>
  <c r="AP67" i="1" s="1"/>
  <c r="AQ67" i="1" s="1"/>
  <c r="AR67" i="1" s="1"/>
  <c r="AE68" i="1" s="1"/>
  <c r="AH68" i="1"/>
  <c r="D21" i="1"/>
  <c r="C21" i="1"/>
  <c r="F21" i="1" s="1"/>
  <c r="B84" i="1"/>
  <c r="K22" i="1" l="1"/>
  <c r="E21" i="1"/>
  <c r="B85" i="1"/>
  <c r="AG68" i="1"/>
  <c r="AT68" i="1"/>
  <c r="AT69" i="1" s="1"/>
  <c r="AV68" i="1"/>
  <c r="Q22" i="1" l="1"/>
  <c r="L22" i="1"/>
  <c r="O22" i="1" s="1"/>
  <c r="M22" i="1"/>
  <c r="N22" i="1" s="1"/>
  <c r="AG69" i="1"/>
  <c r="AJ68" i="1"/>
  <c r="AK68" i="1" s="1"/>
  <c r="AL68" i="1" s="1"/>
  <c r="AM68" i="1" s="1"/>
  <c r="AE69" i="1" s="1"/>
  <c r="B86" i="1"/>
  <c r="AV69" i="1" l="1"/>
  <c r="AH69" i="1"/>
  <c r="R22" i="1"/>
  <c r="X22" i="1" s="1"/>
  <c r="S22" i="1"/>
  <c r="T22" i="1" s="1"/>
  <c r="W22" i="1" s="1"/>
  <c r="B87" i="1"/>
  <c r="U22" i="1" l="1"/>
  <c r="B88" i="1"/>
  <c r="AH70" i="1"/>
  <c r="AO69" i="1"/>
  <c r="AP69" i="1" s="1"/>
  <c r="AQ69" i="1" s="1"/>
  <c r="AR69" i="1" s="1"/>
  <c r="AE70" i="1" s="1"/>
  <c r="B89" i="1" l="1"/>
  <c r="AG70" i="1"/>
  <c r="AT70" i="1"/>
  <c r="AT71" i="1" s="1"/>
  <c r="AV70" i="1"/>
  <c r="D22" i="1"/>
  <c r="C22" i="1"/>
  <c r="F22" i="1" s="1"/>
  <c r="AG71" i="1" l="1"/>
  <c r="AJ70" i="1"/>
  <c r="AK70" i="1" s="1"/>
  <c r="AL70" i="1" s="1"/>
  <c r="AM70" i="1" s="1"/>
  <c r="AE71" i="1" s="1"/>
  <c r="K23" i="1"/>
  <c r="E22" i="1"/>
  <c r="B90" i="1"/>
  <c r="AV71" i="1" l="1"/>
  <c r="AH71" i="1"/>
  <c r="L23" i="1"/>
  <c r="O23" i="1" s="1"/>
  <c r="Q23" i="1"/>
  <c r="M23" i="1"/>
  <c r="N23" i="1" s="1"/>
  <c r="B91" i="1"/>
  <c r="B92" i="1" l="1"/>
  <c r="R23" i="1"/>
  <c r="X23" i="1" s="1"/>
  <c r="S23" i="1"/>
  <c r="T23" i="1" s="1"/>
  <c r="W23" i="1" s="1"/>
  <c r="AH72" i="1"/>
  <c r="AO71" i="1"/>
  <c r="AP71" i="1" s="1"/>
  <c r="AQ71" i="1" s="1"/>
  <c r="AR71" i="1" s="1"/>
  <c r="AE72" i="1" s="1"/>
  <c r="AT72" i="1" l="1"/>
  <c r="AT73" i="1" s="1"/>
  <c r="AV72" i="1"/>
  <c r="AG72" i="1"/>
  <c r="U23" i="1"/>
  <c r="B93" i="1"/>
  <c r="C23" i="1" l="1"/>
  <c r="F23" i="1" s="1"/>
  <c r="D23" i="1"/>
  <c r="B94" i="1"/>
  <c r="AG73" i="1"/>
  <c r="AJ72" i="1"/>
  <c r="AK72" i="1" s="1"/>
  <c r="AL72" i="1" s="1"/>
  <c r="AM72" i="1" s="1"/>
  <c r="AE73" i="1" s="1"/>
  <c r="AV73" i="1" l="1"/>
  <c r="AH73" i="1"/>
  <c r="B95" i="1"/>
  <c r="K24" i="1"/>
  <c r="E23" i="1"/>
  <c r="L24" i="1" l="1"/>
  <c r="O24" i="1" s="1"/>
  <c r="Q24" i="1"/>
  <c r="M24" i="1"/>
  <c r="N24" i="1" s="1"/>
  <c r="B96" i="1"/>
  <c r="AH74" i="1"/>
  <c r="AO73" i="1"/>
  <c r="AP73" i="1" s="1"/>
  <c r="AQ73" i="1" s="1"/>
  <c r="AR73" i="1" s="1"/>
  <c r="AE74" i="1" s="1"/>
  <c r="AG74" i="1" l="1"/>
  <c r="AV74" i="1"/>
  <c r="AT74" i="1"/>
  <c r="AT75" i="1" s="1"/>
  <c r="B97" i="1"/>
  <c r="R24" i="1"/>
  <c r="X24" i="1" s="1"/>
  <c r="S24" i="1"/>
  <c r="T24" i="1" s="1"/>
  <c r="W24" i="1" s="1"/>
  <c r="U24" i="1" l="1"/>
  <c r="B98" i="1"/>
  <c r="AJ74" i="1"/>
  <c r="AK74" i="1" s="1"/>
  <c r="AL74" i="1" s="1"/>
  <c r="AM74" i="1" s="1"/>
  <c r="AE75" i="1" s="1"/>
  <c r="AG75" i="1"/>
  <c r="AV75" i="1" l="1"/>
  <c r="AH75" i="1"/>
  <c r="B99" i="1"/>
  <c r="D24" i="1"/>
  <c r="C24" i="1"/>
  <c r="F24" i="1" s="1"/>
  <c r="K25" i="1" l="1"/>
  <c r="E24" i="1"/>
  <c r="AO75" i="1"/>
  <c r="AP75" i="1" s="1"/>
  <c r="AQ75" i="1" s="1"/>
  <c r="AR75" i="1" s="1"/>
  <c r="AE76" i="1" s="1"/>
  <c r="AH76" i="1"/>
  <c r="B100" i="1"/>
  <c r="B101" i="1" l="1"/>
  <c r="Q25" i="1"/>
  <c r="L25" i="1"/>
  <c r="O25" i="1" s="1"/>
  <c r="M25" i="1"/>
  <c r="N25" i="1" s="1"/>
  <c r="AG76" i="1"/>
  <c r="AV76" i="1"/>
  <c r="AT76" i="1"/>
  <c r="AT77" i="1" s="1"/>
  <c r="AJ76" i="1" l="1"/>
  <c r="AK76" i="1" s="1"/>
  <c r="AL76" i="1" s="1"/>
  <c r="AM76" i="1" s="1"/>
  <c r="AE77" i="1" s="1"/>
  <c r="AG77" i="1"/>
  <c r="R25" i="1"/>
  <c r="X25" i="1" s="1"/>
  <c r="S25" i="1"/>
  <c r="T25" i="1" s="1"/>
  <c r="W25" i="1" s="1"/>
  <c r="B102" i="1"/>
  <c r="AH77" i="1" l="1"/>
  <c r="AV77" i="1"/>
  <c r="B103" i="1"/>
  <c r="U25" i="1"/>
  <c r="D25" i="1" l="1"/>
  <c r="C25" i="1"/>
  <c r="F25" i="1" s="1"/>
  <c r="B104" i="1"/>
  <c r="AH78" i="1"/>
  <c r="AO77" i="1"/>
  <c r="AP77" i="1" s="1"/>
  <c r="AQ77" i="1" s="1"/>
  <c r="AR77" i="1" s="1"/>
  <c r="AE78" i="1" s="1"/>
  <c r="AG78" i="1" l="1"/>
  <c r="AV78" i="1"/>
  <c r="AT78" i="1"/>
  <c r="AT79" i="1" s="1"/>
  <c r="B105" i="1"/>
  <c r="K26" i="1"/>
  <c r="E25" i="1"/>
  <c r="Q26" i="1" l="1"/>
  <c r="L26" i="1"/>
  <c r="O26" i="1" s="1"/>
  <c r="M26" i="1"/>
  <c r="N26" i="1" s="1"/>
  <c r="B106" i="1"/>
  <c r="AJ78" i="1"/>
  <c r="AK78" i="1" s="1"/>
  <c r="AL78" i="1" s="1"/>
  <c r="AM78" i="1" s="1"/>
  <c r="AE79" i="1" s="1"/>
  <c r="AG79" i="1"/>
  <c r="AH79" i="1" l="1"/>
  <c r="AV79" i="1"/>
  <c r="R26" i="1"/>
  <c r="X26" i="1" s="1"/>
  <c r="S26" i="1"/>
  <c r="T26" i="1" s="1"/>
  <c r="W26" i="1" s="1"/>
  <c r="B107" i="1"/>
  <c r="B108" i="1" l="1"/>
  <c r="U26" i="1"/>
  <c r="AH80" i="1"/>
  <c r="AO79" i="1"/>
  <c r="AP79" i="1" s="1"/>
  <c r="AQ79" i="1" s="1"/>
  <c r="AR79" i="1" s="1"/>
  <c r="AE80" i="1" s="1"/>
  <c r="B109" i="1" l="1"/>
  <c r="AG80" i="1"/>
  <c r="AV80" i="1"/>
  <c r="AT80" i="1"/>
  <c r="AT81" i="1" s="1"/>
  <c r="D26" i="1"/>
  <c r="C26" i="1"/>
  <c r="F26" i="1" s="1"/>
  <c r="K27" i="1" l="1"/>
  <c r="E26" i="1"/>
  <c r="AG81" i="1"/>
  <c r="AJ80" i="1"/>
  <c r="AK80" i="1" s="1"/>
  <c r="AL80" i="1" s="1"/>
  <c r="AM80" i="1" s="1"/>
  <c r="AE81" i="1" s="1"/>
  <c r="B110" i="1"/>
  <c r="AV81" i="1" l="1"/>
  <c r="AH81" i="1"/>
  <c r="B111" i="1"/>
  <c r="L27" i="1"/>
  <c r="O27" i="1" s="1"/>
  <c r="Q27" i="1"/>
  <c r="M27" i="1"/>
  <c r="N27" i="1" s="1"/>
  <c r="B112" i="1" l="1"/>
  <c r="R27" i="1"/>
  <c r="X27" i="1" s="1"/>
  <c r="S27" i="1"/>
  <c r="T27" i="1" s="1"/>
  <c r="W27" i="1" s="1"/>
  <c r="AH82" i="1"/>
  <c r="AO81" i="1"/>
  <c r="AP81" i="1" s="1"/>
  <c r="AQ81" i="1" s="1"/>
  <c r="AR81" i="1" s="1"/>
  <c r="AE82" i="1" s="1"/>
  <c r="AV82" i="1" l="1"/>
  <c r="AT82" i="1"/>
  <c r="AT83" i="1" s="1"/>
  <c r="AG82" i="1"/>
  <c r="U27" i="1"/>
  <c r="B113" i="1"/>
  <c r="B114" i="1" l="1"/>
  <c r="AG83" i="1"/>
  <c r="AJ82" i="1"/>
  <c r="AK82" i="1" s="1"/>
  <c r="AL82" i="1" s="1"/>
  <c r="AM82" i="1" s="1"/>
  <c r="AE83" i="1" s="1"/>
  <c r="C27" i="1"/>
  <c r="F27" i="1" s="1"/>
  <c r="D27" i="1"/>
  <c r="AH83" i="1" l="1"/>
  <c r="AV83" i="1"/>
  <c r="K28" i="1"/>
  <c r="E27" i="1"/>
  <c r="B115" i="1"/>
  <c r="B116" i="1" l="1"/>
  <c r="Q28" i="1"/>
  <c r="L28" i="1"/>
  <c r="O28" i="1" s="1"/>
  <c r="M28" i="1"/>
  <c r="N28" i="1" s="1"/>
  <c r="AH84" i="1"/>
  <c r="AO83" i="1"/>
  <c r="AP83" i="1" s="1"/>
  <c r="AQ83" i="1" s="1"/>
  <c r="AR83" i="1" s="1"/>
  <c r="AE84" i="1" s="1"/>
  <c r="AV84" i="1" l="1"/>
  <c r="AT84" i="1"/>
  <c r="AT85" i="1" s="1"/>
  <c r="AG84" i="1"/>
  <c r="R28" i="1"/>
  <c r="X28" i="1" s="1"/>
  <c r="S28" i="1"/>
  <c r="T28" i="1" s="1"/>
  <c r="W28" i="1" s="1"/>
  <c r="B117" i="1"/>
  <c r="B118" i="1" l="1"/>
  <c r="AG85" i="1"/>
  <c r="AJ84" i="1"/>
  <c r="AK84" i="1" s="1"/>
  <c r="AL84" i="1" s="1"/>
  <c r="AM84" i="1" s="1"/>
  <c r="AE85" i="1" s="1"/>
  <c r="U28" i="1"/>
  <c r="AV85" i="1" l="1"/>
  <c r="AH85" i="1"/>
  <c r="C28" i="1"/>
  <c r="F28" i="1" s="1"/>
  <c r="D28" i="1"/>
  <c r="B119" i="1"/>
  <c r="B120" i="1" l="1"/>
  <c r="K29" i="1"/>
  <c r="E28" i="1"/>
  <c r="AH86" i="1"/>
  <c r="AO85" i="1"/>
  <c r="AP85" i="1" s="1"/>
  <c r="AQ85" i="1" s="1"/>
  <c r="AR85" i="1" s="1"/>
  <c r="AE86" i="1" s="1"/>
  <c r="Q29" i="1" l="1"/>
  <c r="L29" i="1"/>
  <c r="O29" i="1" s="1"/>
  <c r="M29" i="1"/>
  <c r="N29" i="1" s="1"/>
  <c r="AV86" i="1"/>
  <c r="AT86" i="1"/>
  <c r="AT87" i="1" s="1"/>
  <c r="AG86" i="1"/>
  <c r="B121" i="1"/>
  <c r="B122" i="1" l="1"/>
  <c r="AJ86" i="1"/>
  <c r="AK86" i="1" s="1"/>
  <c r="AL86" i="1" s="1"/>
  <c r="AM86" i="1" s="1"/>
  <c r="AE87" i="1" s="1"/>
  <c r="AG87" i="1"/>
  <c r="W29" i="1"/>
  <c r="R29" i="1"/>
  <c r="X29" i="1" s="1"/>
  <c r="S29" i="1"/>
  <c r="T29" i="1" s="1"/>
  <c r="AV87" i="1" l="1"/>
  <c r="AH87" i="1"/>
  <c r="B123" i="1"/>
  <c r="U29" i="1"/>
  <c r="D29" i="1" l="1"/>
  <c r="C29" i="1"/>
  <c r="F29" i="1" s="1"/>
  <c r="B124" i="1"/>
  <c r="AO87" i="1"/>
  <c r="AP87" i="1" s="1"/>
  <c r="AQ87" i="1" s="1"/>
  <c r="AR87" i="1" s="1"/>
  <c r="AE88" i="1" s="1"/>
  <c r="AH88" i="1"/>
  <c r="AG88" i="1" l="1"/>
  <c r="AV88" i="1"/>
  <c r="AT88" i="1"/>
  <c r="AT89" i="1" s="1"/>
  <c r="K30" i="1"/>
  <c r="E29" i="1"/>
  <c r="B125" i="1"/>
  <c r="B126" i="1" l="1"/>
  <c r="Q30" i="1"/>
  <c r="L30" i="1"/>
  <c r="O30" i="1" s="1"/>
  <c r="M30" i="1"/>
  <c r="N30" i="1" s="1"/>
  <c r="AJ88" i="1"/>
  <c r="AK88" i="1" s="1"/>
  <c r="AL88" i="1" s="1"/>
  <c r="AM88" i="1" s="1"/>
  <c r="AE89" i="1" s="1"/>
  <c r="AG89" i="1"/>
  <c r="AV89" i="1" l="1"/>
  <c r="AH89" i="1"/>
  <c r="B127" i="1"/>
  <c r="R30" i="1"/>
  <c r="X30" i="1" s="1"/>
  <c r="S30" i="1"/>
  <c r="T30" i="1" s="1"/>
  <c r="W30" i="1" s="1"/>
  <c r="B128" i="1" l="1"/>
  <c r="U30" i="1"/>
  <c r="AH90" i="1"/>
  <c r="AO89" i="1"/>
  <c r="AP89" i="1" s="1"/>
  <c r="AQ89" i="1" s="1"/>
  <c r="AR89" i="1" s="1"/>
  <c r="AE90" i="1" s="1"/>
  <c r="AT90" i="1" l="1"/>
  <c r="AT91" i="1" s="1"/>
  <c r="AG90" i="1"/>
  <c r="AV90" i="1"/>
  <c r="B129" i="1"/>
  <c r="C30" i="1"/>
  <c r="F30" i="1" s="1"/>
  <c r="D30" i="1"/>
  <c r="B130" i="1" l="1"/>
  <c r="K31" i="1"/>
  <c r="E30" i="1"/>
  <c r="AJ90" i="1"/>
  <c r="AK90" i="1" s="1"/>
  <c r="AL90" i="1" s="1"/>
  <c r="AM90" i="1" s="1"/>
  <c r="AE91" i="1" s="1"/>
  <c r="AG91" i="1"/>
  <c r="AV91" i="1" l="1"/>
  <c r="AH91" i="1"/>
  <c r="Q31" i="1"/>
  <c r="L31" i="1"/>
  <c r="O31" i="1" s="1"/>
  <c r="M31" i="1"/>
  <c r="N31" i="1" s="1"/>
  <c r="B131" i="1"/>
  <c r="B132" i="1" l="1"/>
  <c r="R31" i="1"/>
  <c r="X31" i="1" s="1"/>
  <c r="S31" i="1"/>
  <c r="T31" i="1" s="1"/>
  <c r="W31" i="1" s="1"/>
  <c r="AH92" i="1"/>
  <c r="AO91" i="1"/>
  <c r="AP91" i="1" s="1"/>
  <c r="AQ91" i="1" s="1"/>
  <c r="AR91" i="1" s="1"/>
  <c r="AE92" i="1" s="1"/>
  <c r="U31" i="1" l="1"/>
  <c r="B133" i="1"/>
  <c r="AV92" i="1"/>
  <c r="AG92" i="1"/>
  <c r="AT92" i="1"/>
  <c r="AT93" i="1" s="1"/>
  <c r="B134" i="1" l="1"/>
  <c r="AJ92" i="1"/>
  <c r="AK92" i="1" s="1"/>
  <c r="AL92" i="1" s="1"/>
  <c r="AM92" i="1"/>
  <c r="AE93" i="1" s="1"/>
  <c r="AG93" i="1"/>
  <c r="C31" i="1"/>
  <c r="F31" i="1" s="1"/>
  <c r="D31" i="1"/>
  <c r="AV93" i="1" l="1"/>
  <c r="AH93" i="1"/>
  <c r="K32" i="1"/>
  <c r="E31" i="1"/>
  <c r="B135" i="1"/>
  <c r="B136" i="1" l="1"/>
  <c r="L32" i="1"/>
  <c r="O32" i="1" s="1"/>
  <c r="Q32" i="1"/>
  <c r="M32" i="1"/>
  <c r="N32" i="1" s="1"/>
  <c r="AO93" i="1"/>
  <c r="AP93" i="1" s="1"/>
  <c r="AQ93" i="1" s="1"/>
  <c r="AR93" i="1" s="1"/>
  <c r="AE94" i="1" s="1"/>
  <c r="AH94" i="1"/>
  <c r="R32" i="1" l="1"/>
  <c r="X32" i="1" s="1"/>
  <c r="S32" i="1"/>
  <c r="T32" i="1" s="1"/>
  <c r="AV94" i="1"/>
  <c r="AG94" i="1"/>
  <c r="AT94" i="1"/>
  <c r="AT95" i="1" s="1"/>
  <c r="W32" i="1"/>
  <c r="B137" i="1"/>
  <c r="AJ94" i="1" l="1"/>
  <c r="AK94" i="1" s="1"/>
  <c r="AL94" i="1" s="1"/>
  <c r="AM94" i="1" s="1"/>
  <c r="AE95" i="1" s="1"/>
  <c r="AG95" i="1"/>
  <c r="B138" i="1"/>
  <c r="U32" i="1"/>
  <c r="AH95" i="1" l="1"/>
  <c r="AV95" i="1"/>
  <c r="B139" i="1"/>
  <c r="D32" i="1"/>
  <c r="C32" i="1"/>
  <c r="F32" i="1" s="1"/>
  <c r="K33" i="1" l="1"/>
  <c r="E32" i="1"/>
  <c r="B140" i="1"/>
  <c r="AH96" i="1"/>
  <c r="AO95" i="1"/>
  <c r="AP95" i="1" s="1"/>
  <c r="AQ95" i="1" s="1"/>
  <c r="AR95" i="1" s="1"/>
  <c r="AE96" i="1" s="1"/>
  <c r="AG96" i="1" l="1"/>
  <c r="AV96" i="1"/>
  <c r="AT96" i="1"/>
  <c r="AT97" i="1" s="1"/>
  <c r="B141" i="1"/>
  <c r="Q33" i="1"/>
  <c r="L33" i="1"/>
  <c r="O33" i="1" s="1"/>
  <c r="M33" i="1"/>
  <c r="N33" i="1" s="1"/>
  <c r="B142" i="1" l="1"/>
  <c r="R33" i="1"/>
  <c r="X33" i="1" s="1"/>
  <c r="S33" i="1"/>
  <c r="T33" i="1" s="1"/>
  <c r="W33" i="1" s="1"/>
  <c r="AG97" i="1"/>
  <c r="AJ96" i="1"/>
  <c r="AK96" i="1" s="1"/>
  <c r="AL96" i="1" s="1"/>
  <c r="AM96" i="1" s="1"/>
  <c r="AE97" i="1" s="1"/>
  <c r="AH97" i="1" l="1"/>
  <c r="AV97" i="1"/>
  <c r="U33" i="1"/>
  <c r="B143" i="1"/>
  <c r="D33" i="1" l="1"/>
  <c r="C33" i="1"/>
  <c r="F33" i="1" s="1"/>
  <c r="B144" i="1"/>
  <c r="AH98" i="1"/>
  <c r="AO97" i="1"/>
  <c r="AP97" i="1" s="1"/>
  <c r="AQ97" i="1" s="1"/>
  <c r="AR97" i="1" s="1"/>
  <c r="AE98" i="1" s="1"/>
  <c r="AG98" i="1" l="1"/>
  <c r="AV98" i="1"/>
  <c r="AT98" i="1"/>
  <c r="AT99" i="1" s="1"/>
  <c r="B145" i="1"/>
  <c r="K34" i="1"/>
  <c r="E33" i="1"/>
  <c r="B146" i="1" l="1"/>
  <c r="L34" i="1"/>
  <c r="O34" i="1" s="1"/>
  <c r="Q34" i="1"/>
  <c r="M34" i="1"/>
  <c r="N34" i="1" s="1"/>
  <c r="AG99" i="1"/>
  <c r="AJ98" i="1"/>
  <c r="AK98" i="1" s="1"/>
  <c r="AL98" i="1" s="1"/>
  <c r="AM98" i="1" s="1"/>
  <c r="AE99" i="1" s="1"/>
  <c r="AV99" i="1" l="1"/>
  <c r="AH99" i="1"/>
  <c r="R34" i="1"/>
  <c r="X34" i="1" s="1"/>
  <c r="S34" i="1"/>
  <c r="T34" i="1" s="1"/>
  <c r="W34" i="1" s="1"/>
  <c r="B147" i="1"/>
  <c r="U34" i="1" l="1"/>
  <c r="AH100" i="1"/>
  <c r="AO99" i="1"/>
  <c r="AP99" i="1" s="1"/>
  <c r="AQ99" i="1" s="1"/>
  <c r="AR99" i="1" s="1"/>
  <c r="AE100" i="1" s="1"/>
  <c r="B148" i="1"/>
  <c r="B149" i="1" l="1"/>
  <c r="AT100" i="1"/>
  <c r="AT101" i="1" s="1"/>
  <c r="AG100" i="1"/>
  <c r="AV100" i="1"/>
  <c r="C34" i="1"/>
  <c r="F34" i="1" s="1"/>
  <c r="D34" i="1"/>
  <c r="K35" i="1" l="1"/>
  <c r="E34" i="1"/>
  <c r="B150" i="1"/>
  <c r="AG101" i="1"/>
  <c r="AJ100" i="1"/>
  <c r="AK100" i="1" s="1"/>
  <c r="AL100" i="1" s="1"/>
  <c r="AM100" i="1" s="1"/>
  <c r="AE101" i="1" s="1"/>
  <c r="AH101" i="1" l="1"/>
  <c r="AV101" i="1"/>
  <c r="B151" i="1"/>
  <c r="L35" i="1"/>
  <c r="O35" i="1" s="1"/>
  <c r="Q35" i="1"/>
  <c r="M35" i="1"/>
  <c r="N35" i="1" s="1"/>
  <c r="R35" i="1" l="1"/>
  <c r="X35" i="1" s="1"/>
  <c r="S35" i="1"/>
  <c r="T35" i="1" s="1"/>
  <c r="W35" i="1" s="1"/>
  <c r="B152" i="1"/>
  <c r="AO101" i="1"/>
  <c r="AP101" i="1" s="1"/>
  <c r="AQ101" i="1" s="1"/>
  <c r="AR101" i="1" s="1"/>
  <c r="AE102" i="1" s="1"/>
  <c r="AH102" i="1"/>
  <c r="AG102" i="1" l="1"/>
  <c r="AV102" i="1"/>
  <c r="AT102" i="1"/>
  <c r="AT103" i="1" s="1"/>
  <c r="B153" i="1"/>
  <c r="U35" i="1"/>
  <c r="B154" i="1" l="1"/>
  <c r="D35" i="1"/>
  <c r="C35" i="1"/>
  <c r="F35" i="1" s="1"/>
  <c r="AG103" i="1"/>
  <c r="AJ102" i="1"/>
  <c r="AK102" i="1" s="1"/>
  <c r="AL102" i="1" s="1"/>
  <c r="AM102" i="1" s="1"/>
  <c r="AE103" i="1" s="1"/>
  <c r="AH103" i="1" l="1"/>
  <c r="AV103" i="1"/>
  <c r="K36" i="1"/>
  <c r="E35" i="1"/>
  <c r="B155" i="1"/>
  <c r="B156" i="1" l="1"/>
  <c r="Q36" i="1"/>
  <c r="L36" i="1"/>
  <c r="O36" i="1" s="1"/>
  <c r="M36" i="1"/>
  <c r="N36" i="1" s="1"/>
  <c r="AH104" i="1"/>
  <c r="AO103" i="1"/>
  <c r="AP103" i="1" s="1"/>
  <c r="AQ103" i="1" s="1"/>
  <c r="AR103" i="1" s="1"/>
  <c r="AE104" i="1" s="1"/>
  <c r="AV104" i="1" l="1"/>
  <c r="AG104" i="1"/>
  <c r="AT104" i="1"/>
  <c r="AT105" i="1" s="1"/>
  <c r="R36" i="1"/>
  <c r="X36" i="1" s="1"/>
  <c r="S36" i="1"/>
  <c r="T36" i="1" s="1"/>
  <c r="W36" i="1" s="1"/>
  <c r="B157" i="1"/>
  <c r="B158" i="1" l="1"/>
  <c r="U36" i="1"/>
  <c r="AJ104" i="1"/>
  <c r="AK104" i="1" s="1"/>
  <c r="AL104" i="1" s="1"/>
  <c r="AM104" i="1" s="1"/>
  <c r="AE105" i="1" s="1"/>
  <c r="AG105" i="1"/>
  <c r="AV105" i="1" l="1"/>
  <c r="AH105" i="1"/>
  <c r="C36" i="1"/>
  <c r="F36" i="1" s="1"/>
  <c r="D36" i="1"/>
  <c r="B159" i="1"/>
  <c r="B160" i="1" l="1"/>
  <c r="K37" i="1"/>
  <c r="E36" i="1"/>
  <c r="AO105" i="1"/>
  <c r="AP105" i="1" s="1"/>
  <c r="AQ105" i="1" s="1"/>
  <c r="AR105" i="1" s="1"/>
  <c r="AE106" i="1" s="1"/>
  <c r="AH106" i="1"/>
  <c r="AV106" i="1" l="1"/>
  <c r="AG106" i="1"/>
  <c r="AT106" i="1"/>
  <c r="AT107" i="1" s="1"/>
  <c r="L37" i="1"/>
  <c r="Q37" i="1"/>
  <c r="M37" i="1"/>
  <c r="N37" i="1" s="1"/>
  <c r="B161" i="1"/>
  <c r="B162" i="1" l="1"/>
  <c r="O37" i="1"/>
  <c r="R37" i="1"/>
  <c r="X37" i="1" s="1"/>
  <c r="S37" i="1"/>
  <c r="T37" i="1" s="1"/>
  <c r="W37" i="1" s="1"/>
  <c r="AJ106" i="1"/>
  <c r="AK106" i="1" s="1"/>
  <c r="AL106" i="1" s="1"/>
  <c r="AG107" i="1"/>
  <c r="AM106" i="1"/>
  <c r="AE107" i="1" s="1"/>
  <c r="U37" i="1" l="1"/>
  <c r="D37" i="1"/>
  <c r="C37" i="1"/>
  <c r="F37" i="1" s="1"/>
  <c r="AH107" i="1"/>
  <c r="AV107" i="1"/>
  <c r="B163" i="1"/>
  <c r="K38" i="1" l="1"/>
  <c r="E37" i="1"/>
  <c r="B164" i="1"/>
  <c r="AO107" i="1"/>
  <c r="AP107" i="1" s="1"/>
  <c r="AQ107" i="1" s="1"/>
  <c r="AR107" i="1" s="1"/>
  <c r="AE108" i="1" s="1"/>
  <c r="AH108" i="1"/>
  <c r="AV108" i="1" l="1"/>
  <c r="AT108" i="1"/>
  <c r="AT109" i="1" s="1"/>
  <c r="AG108" i="1"/>
  <c r="B165" i="1"/>
  <c r="Q38" i="1"/>
  <c r="L38" i="1"/>
  <c r="O38" i="1" s="1"/>
  <c r="M38" i="1"/>
  <c r="N38" i="1" s="1"/>
  <c r="B166" i="1" l="1"/>
  <c r="R38" i="1"/>
  <c r="X38" i="1" s="1"/>
  <c r="S38" i="1"/>
  <c r="T38" i="1" s="1"/>
  <c r="W38" i="1" s="1"/>
  <c r="AJ108" i="1"/>
  <c r="AK108" i="1" s="1"/>
  <c r="AL108" i="1" s="1"/>
  <c r="AM108" i="1" s="1"/>
  <c r="AE109" i="1" s="1"/>
  <c r="AG109" i="1"/>
  <c r="AV109" i="1" l="1"/>
  <c r="AH109" i="1"/>
  <c r="U38" i="1"/>
  <c r="B167" i="1"/>
  <c r="B168" i="1" l="1"/>
  <c r="D38" i="1"/>
  <c r="C38" i="1"/>
  <c r="F38" i="1" s="1"/>
  <c r="AH110" i="1"/>
  <c r="AO109" i="1"/>
  <c r="AP109" i="1" s="1"/>
  <c r="AQ109" i="1" s="1"/>
  <c r="AR109" i="1" s="1"/>
  <c r="AE110" i="1" s="1"/>
  <c r="B169" i="1" l="1"/>
  <c r="AV110" i="1"/>
  <c r="AG110" i="1"/>
  <c r="AT110" i="1"/>
  <c r="AT111" i="1" s="1"/>
  <c r="K39" i="1"/>
  <c r="E38" i="1"/>
  <c r="Q39" i="1" l="1"/>
  <c r="L39" i="1"/>
  <c r="O39" i="1" s="1"/>
  <c r="M39" i="1"/>
  <c r="N39" i="1" s="1"/>
  <c r="AJ110" i="1"/>
  <c r="AK110" i="1" s="1"/>
  <c r="AL110" i="1" s="1"/>
  <c r="AM110" i="1" s="1"/>
  <c r="AE111" i="1" s="1"/>
  <c r="AG111" i="1"/>
  <c r="B170" i="1"/>
  <c r="AV111" i="1" l="1"/>
  <c r="AH111" i="1"/>
  <c r="B171" i="1"/>
  <c r="R39" i="1"/>
  <c r="X39" i="1" s="1"/>
  <c r="S39" i="1"/>
  <c r="T39" i="1" s="1"/>
  <c r="W39" i="1" s="1"/>
  <c r="U39" i="1" l="1"/>
  <c r="B172" i="1"/>
  <c r="AH112" i="1"/>
  <c r="AO111" i="1"/>
  <c r="AP111" i="1" s="1"/>
  <c r="AQ111" i="1" s="1"/>
  <c r="AR111" i="1" s="1"/>
  <c r="AE112" i="1" s="1"/>
  <c r="AG112" i="1" l="1"/>
  <c r="AT112" i="1"/>
  <c r="AT113" i="1" s="1"/>
  <c r="AV112" i="1"/>
  <c r="B173" i="1"/>
  <c r="D39" i="1"/>
  <c r="C39" i="1"/>
  <c r="F39" i="1" s="1"/>
  <c r="K40" i="1" l="1"/>
  <c r="E39" i="1"/>
  <c r="B174" i="1"/>
  <c r="AG113" i="1"/>
  <c r="AJ112" i="1"/>
  <c r="AK112" i="1" s="1"/>
  <c r="AL112" i="1" s="1"/>
  <c r="AM112" i="1" s="1"/>
  <c r="AE113" i="1" s="1"/>
  <c r="AV113" i="1" l="1"/>
  <c r="AH113" i="1"/>
  <c r="B175" i="1"/>
  <c r="I39" i="1"/>
  <c r="L40" i="1"/>
  <c r="O40" i="1" s="1"/>
  <c r="Q40" i="1"/>
  <c r="M40" i="1"/>
  <c r="N40" i="1" s="1"/>
  <c r="B176" i="1" l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AH114" i="1"/>
  <c r="AO113" i="1"/>
  <c r="AP113" i="1" s="1"/>
  <c r="AQ113" i="1" s="1"/>
  <c r="AR113" i="1" s="1"/>
  <c r="AE114" i="1" s="1"/>
  <c r="R40" i="1"/>
  <c r="X40" i="1" s="1"/>
  <c r="S40" i="1"/>
  <c r="T40" i="1" s="1"/>
  <c r="W40" i="1" s="1"/>
  <c r="B177" i="1" l="1"/>
  <c r="AV114" i="1"/>
  <c r="AT114" i="1"/>
  <c r="AT115" i="1" s="1"/>
  <c r="AG114" i="1"/>
  <c r="U40" i="1"/>
  <c r="D40" i="1" l="1"/>
  <c r="C40" i="1"/>
  <c r="F40" i="1" s="1"/>
  <c r="AG115" i="1"/>
  <c r="AJ114" i="1"/>
  <c r="AK114" i="1" s="1"/>
  <c r="AL114" i="1" s="1"/>
  <c r="AM114" i="1" s="1"/>
  <c r="AE115" i="1" s="1"/>
  <c r="B178" i="1"/>
  <c r="AH115" i="1" l="1"/>
  <c r="AV115" i="1"/>
  <c r="H40" i="1"/>
  <c r="K41" i="1"/>
  <c r="E40" i="1"/>
  <c r="I40" i="1" s="1"/>
  <c r="B179" i="1"/>
  <c r="B180" i="1" l="1"/>
  <c r="L41" i="1"/>
  <c r="O41" i="1" s="1"/>
  <c r="Q41" i="1"/>
  <c r="M41" i="1"/>
  <c r="N41" i="1" s="1"/>
  <c r="AO115" i="1"/>
  <c r="AP115" i="1" s="1"/>
  <c r="AQ115" i="1" s="1"/>
  <c r="AR115" i="1" s="1"/>
  <c r="AE116" i="1" s="1"/>
  <c r="AH116" i="1"/>
  <c r="AG116" i="1" l="1"/>
  <c r="AV116" i="1"/>
  <c r="AT116" i="1"/>
  <c r="AT117" i="1" s="1"/>
  <c r="R41" i="1"/>
  <c r="X41" i="1" s="1"/>
  <c r="S41" i="1"/>
  <c r="T41" i="1" s="1"/>
  <c r="W41" i="1" s="1"/>
  <c r="B181" i="1"/>
  <c r="B182" i="1" l="1"/>
  <c r="AJ116" i="1"/>
  <c r="AK116" i="1" s="1"/>
  <c r="AL116" i="1" s="1"/>
  <c r="AM116" i="1"/>
  <c r="AE117" i="1" s="1"/>
  <c r="AG117" i="1"/>
  <c r="U41" i="1"/>
  <c r="D41" i="1" l="1"/>
  <c r="C41" i="1"/>
  <c r="F41" i="1" s="1"/>
  <c r="AV117" i="1"/>
  <c r="AH117" i="1"/>
  <c r="B183" i="1"/>
  <c r="B184" i="1" l="1"/>
  <c r="AO117" i="1"/>
  <c r="AP117" i="1" s="1"/>
  <c r="AQ117" i="1" s="1"/>
  <c r="AR117" i="1" s="1"/>
  <c r="AE118" i="1" s="1"/>
  <c r="AH118" i="1"/>
  <c r="K42" i="1"/>
  <c r="H41" i="1"/>
  <c r="E41" i="1"/>
  <c r="I41" i="1" s="1"/>
  <c r="Q42" i="1" l="1"/>
  <c r="L42" i="1"/>
  <c r="O42" i="1" s="1"/>
  <c r="M42" i="1"/>
  <c r="N42" i="1" s="1"/>
  <c r="B185" i="1"/>
  <c r="AG118" i="1"/>
  <c r="AV118" i="1"/>
  <c r="AT118" i="1"/>
  <c r="AT119" i="1" s="1"/>
  <c r="AG119" i="1" l="1"/>
  <c r="AJ118" i="1"/>
  <c r="AK118" i="1" s="1"/>
  <c r="AL118" i="1" s="1"/>
  <c r="AM118" i="1" s="1"/>
  <c r="AE119" i="1" s="1"/>
  <c r="B186" i="1"/>
  <c r="R42" i="1"/>
  <c r="X42" i="1" s="1"/>
  <c r="S42" i="1"/>
  <c r="T42" i="1" s="1"/>
  <c r="W42" i="1" s="1"/>
  <c r="AV119" i="1" l="1"/>
  <c r="AH119" i="1"/>
  <c r="U42" i="1"/>
  <c r="B187" i="1"/>
  <c r="B188" i="1" l="1"/>
  <c r="D42" i="1"/>
  <c r="C42" i="1"/>
  <c r="F42" i="1" s="1"/>
  <c r="AH120" i="1"/>
  <c r="AO119" i="1"/>
  <c r="AP119" i="1" s="1"/>
  <c r="AQ119" i="1" s="1"/>
  <c r="AR119" i="1" s="1"/>
  <c r="AE120" i="1" s="1"/>
  <c r="AG120" i="1" l="1"/>
  <c r="AT120" i="1"/>
  <c r="AT121" i="1" s="1"/>
  <c r="AV120" i="1"/>
  <c r="H42" i="1"/>
  <c r="K43" i="1"/>
  <c r="E42" i="1"/>
  <c r="I42" i="1" s="1"/>
  <c r="B189" i="1"/>
  <c r="AJ120" i="1" l="1"/>
  <c r="AK120" i="1" s="1"/>
  <c r="AL120" i="1" s="1"/>
  <c r="AM120" i="1" s="1"/>
  <c r="AE121" i="1" s="1"/>
  <c r="AG121" i="1"/>
  <c r="B190" i="1"/>
  <c r="Q43" i="1"/>
  <c r="L43" i="1"/>
  <c r="O43" i="1" s="1"/>
  <c r="M43" i="1"/>
  <c r="N43" i="1" s="1"/>
  <c r="AV121" i="1" l="1"/>
  <c r="AH121" i="1"/>
  <c r="R43" i="1"/>
  <c r="X43" i="1" s="1"/>
  <c r="S43" i="1"/>
  <c r="T43" i="1" s="1"/>
  <c r="W43" i="1" s="1"/>
  <c r="B191" i="1"/>
  <c r="U43" i="1" l="1"/>
  <c r="B192" i="1"/>
  <c r="AH122" i="1"/>
  <c r="AO121" i="1"/>
  <c r="AP121" i="1" s="1"/>
  <c r="AQ121" i="1" s="1"/>
  <c r="AR121" i="1" s="1"/>
  <c r="AE122" i="1" s="1"/>
  <c r="AG122" i="1" l="1"/>
  <c r="AT122" i="1"/>
  <c r="AT123" i="1" s="1"/>
  <c r="AV122" i="1"/>
  <c r="B193" i="1"/>
  <c r="C43" i="1"/>
  <c r="F43" i="1" s="1"/>
  <c r="D43" i="1"/>
  <c r="K44" i="1" l="1"/>
  <c r="H43" i="1"/>
  <c r="E43" i="1"/>
  <c r="I43" i="1" s="1"/>
  <c r="AG123" i="1"/>
  <c r="AJ122" i="1"/>
  <c r="AK122" i="1" s="1"/>
  <c r="AL122" i="1" s="1"/>
  <c r="AM122" i="1" s="1"/>
  <c r="AE123" i="1" s="1"/>
  <c r="AV123" i="1" l="1"/>
  <c r="AH123" i="1"/>
  <c r="L44" i="1"/>
  <c r="O44" i="1" s="1"/>
  <c r="Q44" i="1"/>
  <c r="M44" i="1"/>
  <c r="N44" i="1" s="1"/>
  <c r="R44" i="1" l="1"/>
  <c r="X44" i="1" s="1"/>
  <c r="S44" i="1"/>
  <c r="T44" i="1" s="1"/>
  <c r="AH124" i="1"/>
  <c r="AO123" i="1"/>
  <c r="AP123" i="1" s="1"/>
  <c r="AQ123" i="1" s="1"/>
  <c r="AR123" i="1" s="1"/>
  <c r="AE124" i="1" s="1"/>
  <c r="W44" i="1"/>
  <c r="AT124" i="1" l="1"/>
  <c r="AT125" i="1" s="1"/>
  <c r="AG124" i="1"/>
  <c r="AV124" i="1"/>
  <c r="U44" i="1"/>
  <c r="D44" i="1" l="1"/>
  <c r="C44" i="1"/>
  <c r="F44" i="1" s="1"/>
  <c r="AG125" i="1"/>
  <c r="AJ124" i="1"/>
  <c r="AK124" i="1" s="1"/>
  <c r="AL124" i="1" s="1"/>
  <c r="AM124" i="1" s="1"/>
  <c r="AE125" i="1" s="1"/>
  <c r="AH125" i="1" l="1"/>
  <c r="AV125" i="1"/>
  <c r="K45" i="1"/>
  <c r="H44" i="1"/>
  <c r="E44" i="1"/>
  <c r="I44" i="1" s="1"/>
  <c r="L45" i="1" l="1"/>
  <c r="O45" i="1" s="1"/>
  <c r="Q45" i="1"/>
  <c r="M45" i="1"/>
  <c r="N45" i="1" s="1"/>
  <c r="AO125" i="1"/>
  <c r="AP125" i="1" s="1"/>
  <c r="AQ125" i="1" s="1"/>
  <c r="AR125" i="1" s="1"/>
  <c r="AE126" i="1" s="1"/>
  <c r="AH126" i="1"/>
  <c r="AV126" i="1" l="1"/>
  <c r="AG126" i="1"/>
  <c r="AT126" i="1"/>
  <c r="AT127" i="1" s="1"/>
  <c r="R45" i="1"/>
  <c r="X45" i="1" s="1"/>
  <c r="S45" i="1"/>
  <c r="T45" i="1" s="1"/>
  <c r="W45" i="1" s="1"/>
  <c r="U45" i="1" l="1"/>
  <c r="AJ126" i="1"/>
  <c r="AK126" i="1" s="1"/>
  <c r="AL126" i="1" s="1"/>
  <c r="AM126" i="1" s="1"/>
  <c r="AE127" i="1" s="1"/>
  <c r="AG127" i="1"/>
  <c r="AV127" i="1" l="1"/>
  <c r="AH127" i="1"/>
  <c r="D45" i="1"/>
  <c r="C45" i="1"/>
  <c r="F45" i="1" s="1"/>
  <c r="K46" i="1" l="1"/>
  <c r="H45" i="1"/>
  <c r="E45" i="1"/>
  <c r="I45" i="1" s="1"/>
  <c r="AH128" i="1"/>
  <c r="AO127" i="1"/>
  <c r="AP127" i="1" s="1"/>
  <c r="AQ127" i="1" s="1"/>
  <c r="AR127" i="1" s="1"/>
  <c r="AE128" i="1" s="1"/>
  <c r="AG128" i="1" l="1"/>
  <c r="AV128" i="1"/>
  <c r="AT128" i="1"/>
  <c r="AT129" i="1" s="1"/>
  <c r="L46" i="1"/>
  <c r="Q46" i="1"/>
  <c r="M46" i="1"/>
  <c r="N46" i="1" s="1"/>
  <c r="R46" i="1" l="1"/>
  <c r="X46" i="1" s="1"/>
  <c r="S46" i="1"/>
  <c r="T46" i="1" s="1"/>
  <c r="W46" i="1" s="1"/>
  <c r="O46" i="1"/>
  <c r="AG129" i="1"/>
  <c r="AJ128" i="1"/>
  <c r="AK128" i="1" s="1"/>
  <c r="AL128" i="1" s="1"/>
  <c r="AM128" i="1" s="1"/>
  <c r="AE129" i="1" s="1"/>
  <c r="AV129" i="1" l="1"/>
  <c r="AH129" i="1"/>
  <c r="C46" i="1"/>
  <c r="F46" i="1" s="1"/>
  <c r="D46" i="1"/>
  <c r="U46" i="1"/>
  <c r="H46" i="1" l="1"/>
  <c r="K47" i="1"/>
  <c r="E46" i="1"/>
  <c r="I46" i="1" s="1"/>
  <c r="AH130" i="1"/>
  <c r="AO129" i="1"/>
  <c r="AP129" i="1" s="1"/>
  <c r="AQ129" i="1" s="1"/>
  <c r="AR129" i="1" s="1"/>
  <c r="AE130" i="1" s="1"/>
  <c r="AV130" i="1" l="1"/>
  <c r="AT130" i="1"/>
  <c r="AT131" i="1" s="1"/>
  <c r="AG130" i="1"/>
  <c r="L47" i="1"/>
  <c r="O47" i="1" s="1"/>
  <c r="Q47" i="1"/>
  <c r="M47" i="1"/>
  <c r="N47" i="1" s="1"/>
  <c r="U47" i="1" l="1"/>
  <c r="D47" i="1" s="1"/>
  <c r="R47" i="1"/>
  <c r="X47" i="1" s="1"/>
  <c r="S47" i="1"/>
  <c r="T47" i="1" s="1"/>
  <c r="W47" i="1"/>
  <c r="AG131" i="1"/>
  <c r="AJ130" i="1"/>
  <c r="AK130" i="1" s="1"/>
  <c r="AL130" i="1" s="1"/>
  <c r="AM130" i="1" s="1"/>
  <c r="AE131" i="1" s="1"/>
  <c r="AV131" i="1" l="1"/>
  <c r="AH131" i="1"/>
  <c r="H47" i="1"/>
  <c r="K48" i="1"/>
  <c r="E47" i="1"/>
  <c r="I47" i="1" s="1"/>
  <c r="C47" i="1"/>
  <c r="F47" i="1" s="1"/>
  <c r="Q48" i="1" l="1"/>
  <c r="L48" i="1"/>
  <c r="O48" i="1" s="1"/>
  <c r="M48" i="1"/>
  <c r="N48" i="1" s="1"/>
  <c r="AH132" i="1"/>
  <c r="AO131" i="1"/>
  <c r="AP131" i="1" s="1"/>
  <c r="AQ131" i="1" s="1"/>
  <c r="AR131" i="1" s="1"/>
  <c r="AE132" i="1" s="1"/>
  <c r="AT132" i="1" l="1"/>
  <c r="AT133" i="1" s="1"/>
  <c r="AV132" i="1"/>
  <c r="AG132" i="1"/>
  <c r="R48" i="1"/>
  <c r="X48" i="1" s="1"/>
  <c r="S48" i="1"/>
  <c r="T48" i="1" s="1"/>
  <c r="W48" i="1" s="1"/>
  <c r="AG133" i="1" l="1"/>
  <c r="AJ132" i="1"/>
  <c r="AK132" i="1" s="1"/>
  <c r="AL132" i="1" s="1"/>
  <c r="AM132" i="1"/>
  <c r="AE133" i="1" s="1"/>
  <c r="U48" i="1"/>
  <c r="AV133" i="1" l="1"/>
  <c r="AH133" i="1"/>
  <c r="C48" i="1"/>
  <c r="F48" i="1" s="1"/>
  <c r="D48" i="1"/>
  <c r="K49" i="1" l="1"/>
  <c r="H48" i="1"/>
  <c r="E48" i="1"/>
  <c r="I48" i="1" s="1"/>
  <c r="AO133" i="1"/>
  <c r="AP133" i="1" s="1"/>
  <c r="AQ133" i="1" s="1"/>
  <c r="AR133" i="1" s="1"/>
  <c r="AE134" i="1" s="1"/>
  <c r="AH134" i="1"/>
  <c r="AT134" i="1" l="1"/>
  <c r="AT135" i="1" s="1"/>
  <c r="AV134" i="1"/>
  <c r="AG134" i="1"/>
  <c r="Q49" i="1"/>
  <c r="L49" i="1"/>
  <c r="O49" i="1" s="1"/>
  <c r="M49" i="1"/>
  <c r="N49" i="1" s="1"/>
  <c r="W49" i="1" l="1"/>
  <c r="R49" i="1"/>
  <c r="X49" i="1" s="1"/>
  <c r="S49" i="1"/>
  <c r="T49" i="1" s="1"/>
  <c r="AG135" i="1"/>
  <c r="AJ134" i="1"/>
  <c r="AK134" i="1" s="1"/>
  <c r="AL134" i="1" s="1"/>
  <c r="AM134" i="1" s="1"/>
  <c r="AE135" i="1" s="1"/>
  <c r="AH135" i="1" l="1"/>
  <c r="AV135" i="1"/>
  <c r="U49" i="1"/>
  <c r="AH136" i="1" l="1"/>
  <c r="AO135" i="1"/>
  <c r="AP135" i="1" s="1"/>
  <c r="AQ135" i="1" s="1"/>
  <c r="AR135" i="1" s="1"/>
  <c r="AE136" i="1" s="1"/>
  <c r="D49" i="1"/>
  <c r="C49" i="1"/>
  <c r="F49" i="1" s="1"/>
  <c r="K50" i="1" l="1"/>
  <c r="H49" i="1"/>
  <c r="E49" i="1"/>
  <c r="I49" i="1" s="1"/>
  <c r="AV136" i="1"/>
  <c r="AT136" i="1"/>
  <c r="AT137" i="1" s="1"/>
  <c r="AG136" i="1"/>
  <c r="AG137" i="1" l="1"/>
  <c r="AJ136" i="1"/>
  <c r="AK136" i="1" s="1"/>
  <c r="AL136" i="1" s="1"/>
  <c r="AM136" i="1" s="1"/>
  <c r="AE137" i="1" s="1"/>
  <c r="L50" i="1"/>
  <c r="O50" i="1" s="1"/>
  <c r="Q50" i="1"/>
  <c r="M50" i="1"/>
  <c r="N50" i="1" s="1"/>
  <c r="AV137" i="1" l="1"/>
  <c r="AH137" i="1"/>
  <c r="R50" i="1"/>
  <c r="X50" i="1" s="1"/>
  <c r="S50" i="1"/>
  <c r="T50" i="1" s="1"/>
  <c r="W50" i="1" s="1"/>
  <c r="U50" i="1" l="1"/>
  <c r="AH138" i="1"/>
  <c r="AO137" i="1"/>
  <c r="AP137" i="1" s="1"/>
  <c r="AQ137" i="1" s="1"/>
  <c r="AR137" i="1" s="1"/>
  <c r="AE138" i="1" s="1"/>
  <c r="AT138" i="1" l="1"/>
  <c r="AT139" i="1" s="1"/>
  <c r="AG138" i="1"/>
  <c r="AV138" i="1"/>
  <c r="C50" i="1"/>
  <c r="F50" i="1" s="1"/>
  <c r="D50" i="1"/>
  <c r="AJ138" i="1" l="1"/>
  <c r="AK138" i="1" s="1"/>
  <c r="AL138" i="1" s="1"/>
  <c r="AM138" i="1" s="1"/>
  <c r="AE139" i="1" s="1"/>
  <c r="AG139" i="1"/>
  <c r="H50" i="1"/>
  <c r="K51" i="1"/>
  <c r="E50" i="1"/>
  <c r="I50" i="1" s="1"/>
  <c r="AH139" i="1" l="1"/>
  <c r="AV139" i="1"/>
  <c r="L51" i="1"/>
  <c r="Q51" i="1"/>
  <c r="M51" i="1"/>
  <c r="N51" i="1" s="1"/>
  <c r="O51" i="1" l="1"/>
  <c r="R51" i="1"/>
  <c r="X51" i="1" s="1"/>
  <c r="S51" i="1"/>
  <c r="T51" i="1" s="1"/>
  <c r="W51" i="1" s="1"/>
  <c r="AH140" i="1"/>
  <c r="AO139" i="1"/>
  <c r="AP139" i="1" s="1"/>
  <c r="AQ139" i="1" s="1"/>
  <c r="AR139" i="1" s="1"/>
  <c r="AE140" i="1" s="1"/>
  <c r="U51" i="1" l="1"/>
  <c r="AT140" i="1"/>
  <c r="AT141" i="1" s="1"/>
  <c r="AV140" i="1"/>
  <c r="AG140" i="1"/>
  <c r="C51" i="1"/>
  <c r="F51" i="1" s="1"/>
  <c r="D51" i="1"/>
  <c r="H51" i="1" l="1"/>
  <c r="K52" i="1"/>
  <c r="E51" i="1"/>
  <c r="I51" i="1" s="1"/>
  <c r="AG141" i="1"/>
  <c r="AJ140" i="1"/>
  <c r="AK140" i="1" s="1"/>
  <c r="AL140" i="1" s="1"/>
  <c r="AM140" i="1" s="1"/>
  <c r="AE141" i="1" s="1"/>
  <c r="AH141" i="1" l="1"/>
  <c r="AV141" i="1"/>
  <c r="L52" i="1"/>
  <c r="O52" i="1" s="1"/>
  <c r="Q52" i="1"/>
  <c r="M52" i="1"/>
  <c r="N52" i="1" s="1"/>
  <c r="AO141" i="1" l="1"/>
  <c r="AP141" i="1" s="1"/>
  <c r="AQ141" i="1" s="1"/>
  <c r="AR141" i="1" s="1"/>
  <c r="AE142" i="1" s="1"/>
  <c r="AH142" i="1"/>
  <c r="R52" i="1"/>
  <c r="X52" i="1" s="1"/>
  <c r="S52" i="1"/>
  <c r="T52" i="1" s="1"/>
  <c r="W52" i="1" s="1"/>
  <c r="U52" i="1" l="1"/>
  <c r="AV142" i="1"/>
  <c r="AT142" i="1"/>
  <c r="AT143" i="1" s="1"/>
  <c r="AG142" i="1"/>
  <c r="AG143" i="1" l="1"/>
  <c r="AJ142" i="1"/>
  <c r="AK142" i="1" s="1"/>
  <c r="AL142" i="1" s="1"/>
  <c r="AM142" i="1" s="1"/>
  <c r="AE143" i="1" s="1"/>
  <c r="D52" i="1"/>
  <c r="C52" i="1"/>
  <c r="F52" i="1" s="1"/>
  <c r="AH143" i="1" l="1"/>
  <c r="AV143" i="1"/>
  <c r="H52" i="1"/>
  <c r="K53" i="1"/>
  <c r="E52" i="1"/>
  <c r="I52" i="1" s="1"/>
  <c r="AH144" i="1" l="1"/>
  <c r="AO143" i="1"/>
  <c r="AP143" i="1" s="1"/>
  <c r="AQ143" i="1" s="1"/>
  <c r="AR143" i="1" s="1"/>
  <c r="AE144" i="1" s="1"/>
  <c r="Q53" i="1"/>
  <c r="L53" i="1"/>
  <c r="M53" i="1"/>
  <c r="N53" i="1" s="1"/>
  <c r="O53" i="1" s="1"/>
  <c r="R53" i="1" l="1"/>
  <c r="X53" i="1" s="1"/>
  <c r="S53" i="1"/>
  <c r="T53" i="1" s="1"/>
  <c r="W53" i="1" s="1"/>
  <c r="AV144" i="1"/>
  <c r="AY145" i="1" s="1"/>
  <c r="AZ145" i="1" s="1"/>
  <c r="AG144" i="1"/>
  <c r="AT144" i="1"/>
  <c r="AT145" i="1" s="1"/>
  <c r="AJ144" i="1" l="1"/>
  <c r="AK144" i="1" s="1"/>
  <c r="AL144" i="1" s="1"/>
  <c r="AM144" i="1" s="1"/>
  <c r="AE145" i="1" s="1"/>
  <c r="AG145" i="1"/>
  <c r="U53" i="1"/>
  <c r="AH145" i="1" l="1"/>
  <c r="AV145" i="1"/>
  <c r="D53" i="1"/>
  <c r="C53" i="1"/>
  <c r="F53" i="1" s="1"/>
  <c r="AO145" i="1" l="1"/>
  <c r="AP145" i="1" s="1"/>
  <c r="AQ145" i="1" s="1"/>
  <c r="AR145" i="1" s="1"/>
  <c r="AE146" i="1" s="1"/>
  <c r="AH146" i="1"/>
  <c r="H53" i="1"/>
  <c r="K54" i="1"/>
  <c r="E53" i="1"/>
  <c r="I53" i="1" s="1"/>
  <c r="Q54" i="1" l="1"/>
  <c r="L54" i="1"/>
  <c r="O54" i="1" s="1"/>
  <c r="M54" i="1"/>
  <c r="N54" i="1" s="1"/>
  <c r="AG146" i="1"/>
  <c r="AT146" i="1"/>
  <c r="AT147" i="1" s="1"/>
  <c r="AV146" i="1"/>
  <c r="AJ146" i="1" l="1"/>
  <c r="AK146" i="1" s="1"/>
  <c r="AL146" i="1" s="1"/>
  <c r="AM146" i="1" s="1"/>
  <c r="AE147" i="1" s="1"/>
  <c r="AG147" i="1"/>
  <c r="R54" i="1"/>
  <c r="X54" i="1" s="1"/>
  <c r="S54" i="1"/>
  <c r="T54" i="1" s="1"/>
  <c r="W54" i="1" s="1"/>
  <c r="AV147" i="1" l="1"/>
  <c r="AH147" i="1"/>
  <c r="U54" i="1"/>
  <c r="C54" i="1" l="1"/>
  <c r="F54" i="1" s="1"/>
  <c r="D54" i="1"/>
  <c r="AH148" i="1"/>
  <c r="AO147" i="1"/>
  <c r="AP147" i="1" s="1"/>
  <c r="AQ147" i="1" s="1"/>
  <c r="AR147" i="1" s="1"/>
  <c r="AE148" i="1" s="1"/>
  <c r="AT148" i="1" l="1"/>
  <c r="AT149" i="1" s="1"/>
  <c r="AG148" i="1"/>
  <c r="AV148" i="1"/>
  <c r="H54" i="1"/>
  <c r="K55" i="1"/>
  <c r="E54" i="1"/>
  <c r="I54" i="1" s="1"/>
  <c r="Q55" i="1" l="1"/>
  <c r="L55" i="1"/>
  <c r="O55" i="1" s="1"/>
  <c r="M55" i="1"/>
  <c r="N55" i="1" s="1"/>
  <c r="AG149" i="1"/>
  <c r="AJ148" i="1"/>
  <c r="AK148" i="1" s="1"/>
  <c r="AL148" i="1" s="1"/>
  <c r="AM148" i="1" s="1"/>
  <c r="AE149" i="1" s="1"/>
  <c r="AH149" i="1" l="1"/>
  <c r="AV149" i="1"/>
  <c r="R55" i="1"/>
  <c r="X55" i="1" s="1"/>
  <c r="S55" i="1"/>
  <c r="T55" i="1" s="1"/>
  <c r="W55" i="1" s="1"/>
  <c r="U55" i="1" l="1"/>
  <c r="AO149" i="1"/>
  <c r="AP149" i="1" s="1"/>
  <c r="AQ149" i="1" s="1"/>
  <c r="AR149" i="1" s="1"/>
  <c r="AE150" i="1" s="1"/>
  <c r="AH150" i="1"/>
  <c r="AV150" i="1" l="1"/>
  <c r="AT150" i="1"/>
  <c r="AT151" i="1" s="1"/>
  <c r="AG150" i="1"/>
  <c r="D55" i="1"/>
  <c r="C55" i="1"/>
  <c r="F55" i="1" s="1"/>
  <c r="K56" i="1" l="1"/>
  <c r="H55" i="1"/>
  <c r="E55" i="1"/>
  <c r="I55" i="1" s="1"/>
  <c r="AJ150" i="1"/>
  <c r="AK150" i="1" s="1"/>
  <c r="AL150" i="1" s="1"/>
  <c r="AM150" i="1" s="1"/>
  <c r="AE151" i="1" s="1"/>
  <c r="AG151" i="1"/>
  <c r="AV151" i="1" l="1"/>
  <c r="AH151" i="1"/>
  <c r="L56" i="1"/>
  <c r="O56" i="1" s="1"/>
  <c r="Q56" i="1"/>
  <c r="M56" i="1"/>
  <c r="N56" i="1" s="1"/>
  <c r="R56" i="1" l="1"/>
  <c r="X56" i="1" s="1"/>
  <c r="S56" i="1"/>
  <c r="T56" i="1" s="1"/>
  <c r="W56" i="1" s="1"/>
  <c r="AH152" i="1"/>
  <c r="AO151" i="1"/>
  <c r="AP151" i="1" s="1"/>
  <c r="AQ151" i="1" s="1"/>
  <c r="AR151" i="1" s="1"/>
  <c r="AE152" i="1" s="1"/>
  <c r="AT152" i="1" l="1"/>
  <c r="AT153" i="1" s="1"/>
  <c r="AV152" i="1"/>
  <c r="AG152" i="1"/>
  <c r="U56" i="1"/>
  <c r="D56" i="1" l="1"/>
  <c r="C56" i="1"/>
  <c r="F56" i="1" s="1"/>
  <c r="AJ152" i="1"/>
  <c r="AK152" i="1" s="1"/>
  <c r="AL152" i="1" s="1"/>
  <c r="AM152" i="1" s="1"/>
  <c r="AE153" i="1" s="1"/>
  <c r="AG153" i="1"/>
  <c r="AV153" i="1" l="1"/>
  <c r="AH153" i="1"/>
  <c r="H56" i="1"/>
  <c r="K57" i="1"/>
  <c r="E56" i="1"/>
  <c r="I56" i="1" s="1"/>
  <c r="Q57" i="1" l="1"/>
  <c r="L57" i="1"/>
  <c r="O57" i="1" s="1"/>
  <c r="M57" i="1"/>
  <c r="N57" i="1" s="1"/>
  <c r="AH154" i="1"/>
  <c r="AO153" i="1"/>
  <c r="AP153" i="1" s="1"/>
  <c r="AQ153" i="1" s="1"/>
  <c r="AR153" i="1" s="1"/>
  <c r="AE154" i="1" s="1"/>
  <c r="AG154" i="1" l="1"/>
  <c r="AV154" i="1"/>
  <c r="AT154" i="1"/>
  <c r="AT155" i="1" s="1"/>
  <c r="R57" i="1"/>
  <c r="X57" i="1" s="1"/>
  <c r="S57" i="1"/>
  <c r="T57" i="1" s="1"/>
  <c r="W57" i="1" s="1"/>
  <c r="U57" i="1" l="1"/>
  <c r="AG155" i="1"/>
  <c r="AJ154" i="1"/>
  <c r="AK154" i="1" s="1"/>
  <c r="AL154" i="1" s="1"/>
  <c r="AM154" i="1" s="1"/>
  <c r="AE155" i="1" s="1"/>
  <c r="AH155" i="1" l="1"/>
  <c r="AO155" i="1" s="1"/>
  <c r="AP155" i="1" s="1"/>
  <c r="AQ155" i="1" s="1"/>
  <c r="AR155" i="1" s="1"/>
  <c r="AV155" i="1"/>
  <c r="D57" i="1"/>
  <c r="C57" i="1"/>
  <c r="F57" i="1" s="1"/>
  <c r="H57" i="1" l="1"/>
  <c r="K58" i="1"/>
  <c r="E57" i="1"/>
  <c r="I57" i="1" s="1"/>
  <c r="Q58" i="1" l="1"/>
  <c r="L58" i="1"/>
  <c r="O58" i="1" s="1"/>
  <c r="M58" i="1"/>
  <c r="N58" i="1" s="1"/>
  <c r="R58" i="1" l="1"/>
  <c r="X58" i="1" s="1"/>
  <c r="S58" i="1"/>
  <c r="T58" i="1" s="1"/>
  <c r="W58" i="1" s="1"/>
  <c r="U58" i="1" l="1"/>
  <c r="C58" i="1" l="1"/>
  <c r="F58" i="1" s="1"/>
  <c r="D58" i="1"/>
  <c r="H58" i="1" l="1"/>
  <c r="K59" i="1"/>
  <c r="E58" i="1"/>
  <c r="I58" i="1" s="1"/>
  <c r="Q59" i="1" l="1"/>
  <c r="L59" i="1"/>
  <c r="O59" i="1" s="1"/>
  <c r="M59" i="1"/>
  <c r="N59" i="1" s="1"/>
  <c r="R59" i="1" l="1"/>
  <c r="X59" i="1" s="1"/>
  <c r="S59" i="1"/>
  <c r="T59" i="1" s="1"/>
  <c r="W59" i="1" s="1"/>
  <c r="U59" i="1" l="1"/>
  <c r="D59" i="1" l="1"/>
  <c r="C59" i="1"/>
  <c r="F59" i="1" s="1"/>
  <c r="H59" i="1" l="1"/>
  <c r="K60" i="1"/>
  <c r="E59" i="1"/>
  <c r="I59" i="1" s="1"/>
  <c r="Q60" i="1" l="1"/>
  <c r="L60" i="1"/>
  <c r="O60" i="1" s="1"/>
  <c r="M60" i="1"/>
  <c r="N60" i="1" s="1"/>
  <c r="R60" i="1" l="1"/>
  <c r="X60" i="1" s="1"/>
  <c r="S60" i="1"/>
  <c r="T60" i="1" s="1"/>
  <c r="W60" i="1" s="1"/>
  <c r="U60" i="1" l="1"/>
  <c r="C60" i="1" l="1"/>
  <c r="F60" i="1" s="1"/>
  <c r="D60" i="1"/>
  <c r="K61" i="1" l="1"/>
  <c r="H60" i="1"/>
  <c r="E60" i="1"/>
  <c r="I60" i="1" s="1"/>
  <c r="L61" i="1" l="1"/>
  <c r="O61" i="1" s="1"/>
  <c r="Q61" i="1"/>
  <c r="M61" i="1"/>
  <c r="N61" i="1" s="1"/>
  <c r="R61" i="1" l="1"/>
  <c r="X61" i="1" s="1"/>
  <c r="S61" i="1"/>
  <c r="T61" i="1" s="1"/>
  <c r="W61" i="1" s="1"/>
  <c r="U61" i="1" l="1"/>
  <c r="D61" i="1" l="1"/>
  <c r="C61" i="1"/>
  <c r="F61" i="1" s="1"/>
  <c r="H61" i="1" l="1"/>
  <c r="K62" i="1"/>
  <c r="E61" i="1"/>
  <c r="I61" i="1" s="1"/>
  <c r="Q62" i="1" l="1"/>
  <c r="L62" i="1"/>
  <c r="O62" i="1" s="1"/>
  <c r="M62" i="1"/>
  <c r="N62" i="1" s="1"/>
  <c r="R62" i="1" l="1"/>
  <c r="X62" i="1" s="1"/>
  <c r="S62" i="1"/>
  <c r="T62" i="1" s="1"/>
  <c r="W62" i="1" s="1"/>
  <c r="U62" i="1" l="1"/>
  <c r="C62" i="1" l="1"/>
  <c r="F62" i="1" s="1"/>
  <c r="D62" i="1"/>
  <c r="H62" i="1" l="1"/>
  <c r="K63" i="1"/>
  <c r="E62" i="1"/>
  <c r="I62" i="1" s="1"/>
  <c r="L63" i="1" l="1"/>
  <c r="O63" i="1" s="1"/>
  <c r="Q63" i="1"/>
  <c r="M63" i="1"/>
  <c r="N63" i="1" s="1"/>
  <c r="R63" i="1" l="1"/>
  <c r="X63" i="1" s="1"/>
  <c r="S63" i="1"/>
  <c r="T63" i="1" s="1"/>
  <c r="W63" i="1"/>
  <c r="U63" i="1" l="1"/>
  <c r="D63" i="1" l="1"/>
  <c r="C63" i="1"/>
  <c r="F63" i="1" s="1"/>
  <c r="K64" i="1" l="1"/>
  <c r="H63" i="1"/>
  <c r="E63" i="1"/>
  <c r="I63" i="1" s="1"/>
  <c r="L64" i="1" l="1"/>
  <c r="O64" i="1" s="1"/>
  <c r="Q64" i="1"/>
  <c r="M64" i="1"/>
  <c r="N64" i="1" s="1"/>
  <c r="R64" i="1" l="1"/>
  <c r="X64" i="1" s="1"/>
  <c r="S64" i="1"/>
  <c r="T64" i="1" s="1"/>
  <c r="W64" i="1" s="1"/>
  <c r="U64" i="1" l="1"/>
  <c r="D64" i="1" l="1"/>
  <c r="C64" i="1"/>
  <c r="F64" i="1" s="1"/>
  <c r="K65" i="1" l="1"/>
  <c r="H64" i="1"/>
  <c r="E64" i="1"/>
  <c r="I64" i="1" s="1"/>
  <c r="L65" i="1" l="1"/>
  <c r="Q65" i="1"/>
  <c r="M65" i="1"/>
  <c r="N65" i="1" s="1"/>
  <c r="R65" i="1" l="1"/>
  <c r="X65" i="1" s="1"/>
  <c r="S65" i="1"/>
  <c r="T65" i="1" s="1"/>
  <c r="W65" i="1" s="1"/>
  <c r="O65" i="1"/>
  <c r="U65" i="1" l="1"/>
  <c r="C65" i="1" s="1"/>
  <c r="F65" i="1" s="1"/>
  <c r="D65" i="1" l="1"/>
  <c r="K66" i="1" l="1"/>
  <c r="H65" i="1"/>
  <c r="E65" i="1"/>
  <c r="I65" i="1" s="1"/>
  <c r="L66" i="1" l="1"/>
  <c r="O66" i="1" s="1"/>
  <c r="Q66" i="1"/>
  <c r="M66" i="1"/>
  <c r="N66" i="1" s="1"/>
  <c r="R66" i="1" l="1"/>
  <c r="X66" i="1" s="1"/>
  <c r="S66" i="1"/>
  <c r="T66" i="1" s="1"/>
  <c r="W66" i="1" s="1"/>
  <c r="U66" i="1" l="1"/>
  <c r="C66" i="1" l="1"/>
  <c r="F66" i="1" s="1"/>
  <c r="D66" i="1"/>
  <c r="K67" i="1" l="1"/>
  <c r="H66" i="1"/>
  <c r="E66" i="1"/>
  <c r="I66" i="1" s="1"/>
  <c r="Q67" i="1" l="1"/>
  <c r="L67" i="1"/>
  <c r="O67" i="1" s="1"/>
  <c r="M67" i="1"/>
  <c r="N67" i="1" s="1"/>
  <c r="R67" i="1" l="1"/>
  <c r="X67" i="1" s="1"/>
  <c r="S67" i="1"/>
  <c r="T67" i="1" s="1"/>
  <c r="W67" i="1" s="1"/>
  <c r="U67" i="1" l="1"/>
  <c r="C67" i="1" l="1"/>
  <c r="F67" i="1" s="1"/>
  <c r="D67" i="1"/>
  <c r="K68" i="1" l="1"/>
  <c r="H67" i="1"/>
  <c r="E67" i="1"/>
  <c r="I67" i="1" s="1"/>
  <c r="L68" i="1" l="1"/>
  <c r="Q68" i="1"/>
  <c r="M68" i="1"/>
  <c r="N68" i="1" s="1"/>
  <c r="R68" i="1" l="1"/>
  <c r="X68" i="1" s="1"/>
  <c r="S68" i="1"/>
  <c r="T68" i="1" s="1"/>
  <c r="O68" i="1"/>
  <c r="W68" i="1"/>
  <c r="D68" i="1" l="1"/>
  <c r="U68" i="1"/>
  <c r="C68" i="1" s="1"/>
  <c r="F68" i="1" s="1"/>
  <c r="H68" i="1" l="1"/>
  <c r="K69" i="1"/>
  <c r="E68" i="1"/>
  <c r="I68" i="1" s="1"/>
  <c r="Q69" i="1" l="1"/>
  <c r="L69" i="1"/>
  <c r="M69" i="1"/>
  <c r="N69" i="1" s="1"/>
  <c r="W69" i="1" l="1"/>
  <c r="O69" i="1"/>
  <c r="R69" i="1"/>
  <c r="X69" i="1" s="1"/>
  <c r="S69" i="1"/>
  <c r="T69" i="1" s="1"/>
  <c r="U69" i="1" l="1"/>
  <c r="D69" i="1"/>
  <c r="C69" i="1"/>
  <c r="F69" i="1" s="1"/>
  <c r="K70" i="1" l="1"/>
  <c r="H69" i="1"/>
  <c r="E69" i="1"/>
  <c r="I69" i="1" s="1"/>
  <c r="Q70" i="1" l="1"/>
  <c r="L70" i="1"/>
  <c r="O70" i="1" s="1"/>
  <c r="M70" i="1"/>
  <c r="N70" i="1" s="1"/>
  <c r="R70" i="1" l="1"/>
  <c r="X70" i="1" s="1"/>
  <c r="S70" i="1"/>
  <c r="T70" i="1" s="1"/>
  <c r="W70" i="1" s="1"/>
  <c r="U70" i="1" l="1"/>
  <c r="D70" i="1" l="1"/>
  <c r="C70" i="1"/>
  <c r="F70" i="1" s="1"/>
  <c r="H70" i="1" l="1"/>
  <c r="K71" i="1"/>
  <c r="E70" i="1"/>
  <c r="I70" i="1" s="1"/>
  <c r="L71" i="1" l="1"/>
  <c r="O71" i="1" s="1"/>
  <c r="Q71" i="1"/>
  <c r="M71" i="1"/>
  <c r="N71" i="1" s="1"/>
  <c r="R71" i="1" l="1"/>
  <c r="X71" i="1" s="1"/>
  <c r="S71" i="1"/>
  <c r="T71" i="1" s="1"/>
  <c r="W71" i="1"/>
  <c r="U71" i="1" l="1"/>
  <c r="D71" i="1" l="1"/>
  <c r="C71" i="1"/>
  <c r="F71" i="1" s="1"/>
  <c r="K72" i="1" l="1"/>
  <c r="H71" i="1"/>
  <c r="E71" i="1"/>
  <c r="I71" i="1" s="1"/>
  <c r="Q72" i="1" l="1"/>
  <c r="L72" i="1"/>
  <c r="O72" i="1" s="1"/>
  <c r="M72" i="1"/>
  <c r="N72" i="1" s="1"/>
  <c r="R72" i="1" l="1"/>
  <c r="X72" i="1" s="1"/>
  <c r="S72" i="1"/>
  <c r="T72" i="1" s="1"/>
  <c r="W72" i="1" s="1"/>
  <c r="U72" i="1" l="1"/>
  <c r="C72" i="1" l="1"/>
  <c r="F72" i="1" s="1"/>
  <c r="D72" i="1"/>
  <c r="K73" i="1" l="1"/>
  <c r="H72" i="1"/>
  <c r="E72" i="1"/>
  <c r="I72" i="1" s="1"/>
  <c r="L73" i="1" l="1"/>
  <c r="O73" i="1" s="1"/>
  <c r="Q73" i="1"/>
  <c r="M73" i="1"/>
  <c r="N73" i="1" s="1"/>
  <c r="R73" i="1" l="1"/>
  <c r="X73" i="1" s="1"/>
  <c r="S73" i="1"/>
  <c r="T73" i="1" s="1"/>
  <c r="W73" i="1" s="1"/>
  <c r="U73" i="1" l="1"/>
  <c r="D73" i="1" l="1"/>
  <c r="C73" i="1"/>
  <c r="F73" i="1" s="1"/>
  <c r="K74" i="1" l="1"/>
  <c r="H73" i="1"/>
  <c r="E73" i="1"/>
  <c r="I73" i="1" s="1"/>
  <c r="Q74" i="1" l="1"/>
  <c r="L74" i="1"/>
  <c r="O74" i="1" s="1"/>
  <c r="M74" i="1"/>
  <c r="N74" i="1" s="1"/>
  <c r="R74" i="1" l="1"/>
  <c r="X74" i="1" s="1"/>
  <c r="S74" i="1"/>
  <c r="T74" i="1" s="1"/>
  <c r="W74" i="1" s="1"/>
  <c r="U74" i="1" l="1"/>
  <c r="D74" i="1" l="1"/>
  <c r="C74" i="1"/>
  <c r="F74" i="1" s="1"/>
  <c r="H74" i="1" l="1"/>
  <c r="K75" i="1"/>
  <c r="E74" i="1"/>
  <c r="I74" i="1" s="1"/>
  <c r="L75" i="1" l="1"/>
  <c r="Q75" i="1"/>
  <c r="M75" i="1"/>
  <c r="N75" i="1" s="1"/>
  <c r="O75" i="1" l="1"/>
  <c r="R75" i="1"/>
  <c r="X75" i="1" s="1"/>
  <c r="S75" i="1"/>
  <c r="T75" i="1" s="1"/>
  <c r="W75" i="1" s="1"/>
  <c r="U75" i="1" l="1"/>
  <c r="D75" i="1" s="1"/>
  <c r="C75" i="1"/>
  <c r="F75" i="1" s="1"/>
  <c r="K76" i="1" l="1"/>
  <c r="H75" i="1"/>
  <c r="E75" i="1"/>
  <c r="I75" i="1" s="1"/>
  <c r="L76" i="1" l="1"/>
  <c r="O76" i="1" s="1"/>
  <c r="Q76" i="1"/>
  <c r="M76" i="1"/>
  <c r="N76" i="1" s="1"/>
  <c r="R76" i="1" l="1"/>
  <c r="X76" i="1" s="1"/>
  <c r="S76" i="1"/>
  <c r="T76" i="1" s="1"/>
  <c r="W76" i="1" s="1"/>
  <c r="U76" i="1" l="1"/>
  <c r="C76" i="1" l="1"/>
  <c r="F76" i="1" s="1"/>
  <c r="D76" i="1"/>
  <c r="H76" i="1" l="1"/>
  <c r="K77" i="1"/>
  <c r="E76" i="1"/>
  <c r="I76" i="1" s="1"/>
  <c r="Q77" i="1" l="1"/>
  <c r="L77" i="1"/>
  <c r="O77" i="1" s="1"/>
  <c r="M77" i="1"/>
  <c r="N77" i="1" s="1"/>
  <c r="R77" i="1" l="1"/>
  <c r="X77" i="1" s="1"/>
  <c r="S77" i="1"/>
  <c r="T77" i="1" s="1"/>
  <c r="W77" i="1" s="1"/>
  <c r="U77" i="1" l="1"/>
  <c r="D77" i="1" l="1"/>
  <c r="C77" i="1"/>
  <c r="F77" i="1" s="1"/>
  <c r="K78" i="1" l="1"/>
  <c r="H77" i="1"/>
  <c r="E77" i="1"/>
  <c r="I77" i="1" s="1"/>
  <c r="Q78" i="1" l="1"/>
  <c r="L78" i="1"/>
  <c r="O78" i="1" s="1"/>
  <c r="M78" i="1"/>
  <c r="N78" i="1" s="1"/>
  <c r="R78" i="1" l="1"/>
  <c r="X78" i="1" s="1"/>
  <c r="S78" i="1"/>
  <c r="T78" i="1" s="1"/>
  <c r="W78" i="1" s="1"/>
  <c r="U78" i="1" l="1"/>
  <c r="D78" i="1" l="1"/>
  <c r="C78" i="1"/>
  <c r="F78" i="1" s="1"/>
  <c r="K79" i="1" l="1"/>
  <c r="H78" i="1"/>
  <c r="E78" i="1"/>
  <c r="I78" i="1" s="1"/>
  <c r="L79" i="1" l="1"/>
  <c r="O79" i="1" s="1"/>
  <c r="Q79" i="1"/>
  <c r="M79" i="1"/>
  <c r="N79" i="1" s="1"/>
  <c r="R79" i="1" l="1"/>
  <c r="X79" i="1" s="1"/>
  <c r="S79" i="1"/>
  <c r="T79" i="1" s="1"/>
  <c r="W79" i="1" s="1"/>
  <c r="U79" i="1" l="1"/>
  <c r="D79" i="1" l="1"/>
  <c r="C79" i="1"/>
  <c r="F79" i="1" s="1"/>
  <c r="H79" i="1" l="1"/>
  <c r="K80" i="1"/>
  <c r="E79" i="1"/>
  <c r="I79" i="1" s="1"/>
  <c r="L80" i="1" l="1"/>
  <c r="O80" i="1" s="1"/>
  <c r="Q80" i="1"/>
  <c r="M80" i="1"/>
  <c r="N80" i="1" s="1"/>
  <c r="R80" i="1" l="1"/>
  <c r="X80" i="1" s="1"/>
  <c r="S80" i="1"/>
  <c r="T80" i="1" s="1"/>
  <c r="W80" i="1" s="1"/>
  <c r="U80" i="1" l="1"/>
  <c r="C80" i="1" l="1"/>
  <c r="F80" i="1" s="1"/>
  <c r="D80" i="1"/>
  <c r="K81" i="1" l="1"/>
  <c r="H80" i="1"/>
  <c r="E80" i="1"/>
  <c r="I80" i="1" s="1"/>
  <c r="L81" i="1" l="1"/>
  <c r="O81" i="1" s="1"/>
  <c r="Q81" i="1"/>
  <c r="M81" i="1"/>
  <c r="N81" i="1" s="1"/>
  <c r="R81" i="1" l="1"/>
  <c r="X81" i="1" s="1"/>
  <c r="S81" i="1"/>
  <c r="T81" i="1" s="1"/>
  <c r="W81" i="1" s="1"/>
  <c r="U81" i="1" l="1"/>
  <c r="D81" i="1" l="1"/>
  <c r="C81" i="1"/>
  <c r="F81" i="1" s="1"/>
  <c r="K82" i="1" l="1"/>
  <c r="H81" i="1"/>
  <c r="E81" i="1"/>
  <c r="I81" i="1" s="1"/>
  <c r="L82" i="1" l="1"/>
  <c r="O82" i="1" s="1"/>
  <c r="Q82" i="1"/>
  <c r="M82" i="1"/>
  <c r="N82" i="1" s="1"/>
  <c r="R82" i="1" l="1"/>
  <c r="X82" i="1" s="1"/>
  <c r="S82" i="1"/>
  <c r="T82" i="1" s="1"/>
  <c r="W82" i="1" s="1"/>
  <c r="U82" i="1" l="1"/>
  <c r="D82" i="1" l="1"/>
  <c r="C82" i="1"/>
  <c r="F82" i="1" s="1"/>
  <c r="H82" i="1" l="1"/>
  <c r="K83" i="1"/>
  <c r="E82" i="1"/>
  <c r="I82" i="1" s="1"/>
  <c r="L83" i="1" l="1"/>
  <c r="Q83" i="1"/>
  <c r="M83" i="1"/>
  <c r="N83" i="1" s="1"/>
  <c r="O83" i="1" l="1"/>
  <c r="R83" i="1"/>
  <c r="X83" i="1" s="1"/>
  <c r="S83" i="1"/>
  <c r="T83" i="1" s="1"/>
  <c r="W83" i="1" s="1"/>
  <c r="U83" i="1" l="1"/>
  <c r="D83" i="1" s="1"/>
  <c r="C83" i="1"/>
  <c r="F83" i="1" s="1"/>
  <c r="K84" i="1" l="1"/>
  <c r="H83" i="1"/>
  <c r="E83" i="1"/>
  <c r="I83" i="1" s="1"/>
  <c r="Q84" i="1" l="1"/>
  <c r="L84" i="1"/>
  <c r="O84" i="1" s="1"/>
  <c r="M84" i="1"/>
  <c r="N84" i="1" s="1"/>
  <c r="R84" i="1" l="1"/>
  <c r="X84" i="1" s="1"/>
  <c r="S84" i="1"/>
  <c r="T84" i="1" s="1"/>
  <c r="W84" i="1" s="1"/>
  <c r="U84" i="1" l="1"/>
  <c r="C84" i="1" l="1"/>
  <c r="F84" i="1" s="1"/>
  <c r="D84" i="1"/>
  <c r="H84" i="1" l="1"/>
  <c r="K85" i="1"/>
  <c r="E84" i="1"/>
  <c r="I84" i="1" s="1"/>
  <c r="L85" i="1" l="1"/>
  <c r="O85" i="1" s="1"/>
  <c r="Q85" i="1"/>
  <c r="M85" i="1"/>
  <c r="N85" i="1" s="1"/>
  <c r="R85" i="1" l="1"/>
  <c r="X85" i="1" s="1"/>
  <c r="S85" i="1"/>
  <c r="T85" i="1" s="1"/>
  <c r="W85" i="1"/>
  <c r="U85" i="1" l="1"/>
  <c r="D85" i="1" l="1"/>
  <c r="C85" i="1"/>
  <c r="F85" i="1" s="1"/>
  <c r="K86" i="1" l="1"/>
  <c r="H85" i="1"/>
  <c r="E85" i="1"/>
  <c r="I85" i="1" s="1"/>
  <c r="Q86" i="1" l="1"/>
  <c r="L86" i="1"/>
  <c r="O86" i="1" s="1"/>
  <c r="M86" i="1"/>
  <c r="N86" i="1" s="1"/>
  <c r="R86" i="1" l="1"/>
  <c r="X86" i="1" s="1"/>
  <c r="S86" i="1"/>
  <c r="T86" i="1" s="1"/>
  <c r="W86" i="1" s="1"/>
  <c r="U86" i="1" l="1"/>
  <c r="D86" i="1" l="1"/>
  <c r="C86" i="1"/>
  <c r="F86" i="1" s="1"/>
  <c r="K87" i="1" l="1"/>
  <c r="H86" i="1"/>
  <c r="E86" i="1"/>
  <c r="I86" i="1" s="1"/>
  <c r="Q87" i="1" l="1"/>
  <c r="L87" i="1"/>
  <c r="O87" i="1" s="1"/>
  <c r="M87" i="1"/>
  <c r="N87" i="1" s="1"/>
  <c r="R87" i="1" l="1"/>
  <c r="X87" i="1" s="1"/>
  <c r="S87" i="1"/>
  <c r="T87" i="1" s="1"/>
  <c r="W87" i="1" s="1"/>
  <c r="U87" i="1" l="1"/>
  <c r="D87" i="1" l="1"/>
  <c r="C87" i="1"/>
  <c r="F87" i="1" s="1"/>
  <c r="K88" i="1" l="1"/>
  <c r="H87" i="1"/>
  <c r="E87" i="1"/>
  <c r="I87" i="1" s="1"/>
  <c r="L88" i="1" l="1"/>
  <c r="O88" i="1" s="1"/>
  <c r="Q88" i="1"/>
  <c r="M88" i="1"/>
  <c r="N88" i="1" s="1"/>
  <c r="R88" i="1" l="1"/>
  <c r="X88" i="1" s="1"/>
  <c r="S88" i="1"/>
  <c r="T88" i="1" s="1"/>
  <c r="W88" i="1" s="1"/>
  <c r="U88" i="1" l="1"/>
  <c r="C88" i="1" l="1"/>
  <c r="F88" i="1" s="1"/>
  <c r="D88" i="1"/>
  <c r="H88" i="1" l="1"/>
  <c r="K89" i="1"/>
  <c r="E88" i="1"/>
  <c r="I88" i="1" s="1"/>
  <c r="Q89" i="1" l="1"/>
  <c r="L89" i="1"/>
  <c r="O89" i="1" s="1"/>
  <c r="M89" i="1"/>
  <c r="N89" i="1" s="1"/>
  <c r="R89" i="1" l="1"/>
  <c r="X89" i="1" s="1"/>
  <c r="S89" i="1"/>
  <c r="T89" i="1" s="1"/>
  <c r="W89" i="1" s="1"/>
  <c r="U89" i="1" l="1"/>
  <c r="C89" i="1" l="1"/>
  <c r="F89" i="1" s="1"/>
  <c r="D89" i="1"/>
  <c r="K90" i="1" l="1"/>
  <c r="H89" i="1"/>
  <c r="E89" i="1"/>
  <c r="I89" i="1" s="1"/>
  <c r="Q90" i="1" l="1"/>
  <c r="L90" i="1"/>
  <c r="O90" i="1" s="1"/>
  <c r="M90" i="1"/>
  <c r="N90" i="1" s="1"/>
  <c r="R90" i="1" l="1"/>
  <c r="X90" i="1" s="1"/>
  <c r="S90" i="1"/>
  <c r="T90" i="1" s="1"/>
  <c r="W90" i="1" s="1"/>
  <c r="U90" i="1" l="1"/>
  <c r="C90" i="1" l="1"/>
  <c r="F90" i="1" s="1"/>
  <c r="D90" i="1"/>
  <c r="H90" i="1" l="1"/>
  <c r="K91" i="1"/>
  <c r="E90" i="1"/>
  <c r="I90" i="1" s="1"/>
  <c r="Q91" i="1" l="1"/>
  <c r="L91" i="1"/>
  <c r="O91" i="1" s="1"/>
  <c r="M91" i="1"/>
  <c r="N91" i="1" s="1"/>
  <c r="R91" i="1" l="1"/>
  <c r="X91" i="1" s="1"/>
  <c r="S91" i="1"/>
  <c r="T91" i="1" s="1"/>
  <c r="W91" i="1" s="1"/>
  <c r="U91" i="1" l="1"/>
  <c r="D91" i="1" l="1"/>
  <c r="C91" i="1"/>
  <c r="F91" i="1" s="1"/>
  <c r="H91" i="1" l="1"/>
  <c r="K92" i="1"/>
  <c r="E91" i="1"/>
  <c r="I91" i="1" s="1"/>
  <c r="L92" i="1" l="1"/>
  <c r="O92" i="1" s="1"/>
  <c r="Q92" i="1"/>
  <c r="M92" i="1"/>
  <c r="N92" i="1" s="1"/>
  <c r="R92" i="1" l="1"/>
  <c r="X92" i="1" s="1"/>
  <c r="S92" i="1"/>
  <c r="T92" i="1" s="1"/>
  <c r="W92" i="1" s="1"/>
  <c r="U92" i="1" l="1"/>
  <c r="C92" i="1" l="1"/>
  <c r="F92" i="1" s="1"/>
  <c r="D92" i="1"/>
  <c r="H92" i="1" l="1"/>
  <c r="K93" i="1"/>
  <c r="E92" i="1"/>
  <c r="I92" i="1" s="1"/>
  <c r="L93" i="1" l="1"/>
  <c r="O93" i="1" s="1"/>
  <c r="Q93" i="1"/>
  <c r="M93" i="1"/>
  <c r="N93" i="1" s="1"/>
  <c r="R93" i="1" l="1"/>
  <c r="X93" i="1" s="1"/>
  <c r="S93" i="1"/>
  <c r="T93" i="1" s="1"/>
  <c r="W93" i="1" s="1"/>
  <c r="U93" i="1" l="1"/>
  <c r="C93" i="1" l="1"/>
  <c r="F93" i="1" s="1"/>
  <c r="D93" i="1"/>
  <c r="K94" i="1" l="1"/>
  <c r="H93" i="1"/>
  <c r="E93" i="1"/>
  <c r="I93" i="1" s="1"/>
  <c r="L94" i="1" l="1"/>
  <c r="O94" i="1" s="1"/>
  <c r="Q94" i="1"/>
  <c r="M94" i="1"/>
  <c r="N94" i="1" s="1"/>
  <c r="R94" i="1" l="1"/>
  <c r="X94" i="1" s="1"/>
  <c r="S94" i="1"/>
  <c r="T94" i="1" s="1"/>
  <c r="W94" i="1" s="1"/>
  <c r="U94" i="1" l="1"/>
  <c r="D94" i="1" l="1"/>
  <c r="C94" i="1"/>
  <c r="F94" i="1" s="1"/>
  <c r="H94" i="1" l="1"/>
  <c r="K95" i="1"/>
  <c r="E94" i="1"/>
  <c r="I94" i="1" s="1"/>
  <c r="Q95" i="1" l="1"/>
  <c r="L95" i="1"/>
  <c r="O95" i="1" s="1"/>
  <c r="M95" i="1"/>
  <c r="N95" i="1" s="1"/>
  <c r="R95" i="1" l="1"/>
  <c r="X95" i="1" s="1"/>
  <c r="S95" i="1"/>
  <c r="T95" i="1" s="1"/>
  <c r="W95" i="1" s="1"/>
  <c r="U95" i="1" l="1"/>
  <c r="C95" i="1" l="1"/>
  <c r="F95" i="1" s="1"/>
  <c r="D95" i="1"/>
  <c r="K96" i="1" l="1"/>
  <c r="H95" i="1"/>
  <c r="E95" i="1"/>
  <c r="I95" i="1" s="1"/>
  <c r="L96" i="1" l="1"/>
  <c r="O96" i="1" s="1"/>
  <c r="Q96" i="1"/>
  <c r="M96" i="1"/>
  <c r="N96" i="1" s="1"/>
  <c r="R96" i="1" l="1"/>
  <c r="X96" i="1" s="1"/>
  <c r="S96" i="1"/>
  <c r="T96" i="1" s="1"/>
  <c r="W96" i="1" s="1"/>
  <c r="U96" i="1" l="1"/>
  <c r="D96" i="1" l="1"/>
  <c r="C96" i="1"/>
  <c r="F96" i="1" s="1"/>
  <c r="K97" i="1" l="1"/>
  <c r="H96" i="1"/>
  <c r="E96" i="1"/>
  <c r="I96" i="1" s="1"/>
  <c r="L97" i="1" l="1"/>
  <c r="O97" i="1" s="1"/>
  <c r="Q97" i="1"/>
  <c r="M97" i="1"/>
  <c r="N97" i="1" s="1"/>
  <c r="R97" i="1" l="1"/>
  <c r="X97" i="1" s="1"/>
  <c r="S97" i="1"/>
  <c r="T97" i="1" s="1"/>
  <c r="W97" i="1" s="1"/>
  <c r="U97" i="1" l="1"/>
  <c r="D97" i="1" l="1"/>
  <c r="C97" i="1"/>
  <c r="F97" i="1" s="1"/>
  <c r="H97" i="1" l="1"/>
  <c r="K98" i="1"/>
  <c r="E97" i="1"/>
  <c r="I97" i="1" s="1"/>
  <c r="Q98" i="1" l="1"/>
  <c r="L98" i="1"/>
  <c r="M98" i="1"/>
  <c r="N98" i="1" s="1"/>
  <c r="O98" i="1" l="1"/>
  <c r="R98" i="1"/>
  <c r="X98" i="1" s="1"/>
  <c r="S98" i="1"/>
  <c r="T98" i="1" s="1"/>
  <c r="W98" i="1" s="1"/>
  <c r="U98" i="1" l="1"/>
  <c r="D98" i="1"/>
  <c r="C98" i="1"/>
  <c r="F98" i="1" s="1"/>
  <c r="H98" i="1" l="1"/>
  <c r="K99" i="1"/>
  <c r="E98" i="1"/>
  <c r="I98" i="1" s="1"/>
  <c r="Q99" i="1" l="1"/>
  <c r="L99" i="1"/>
  <c r="O99" i="1" s="1"/>
  <c r="M99" i="1"/>
  <c r="N99" i="1" s="1"/>
  <c r="R99" i="1" l="1"/>
  <c r="X99" i="1" s="1"/>
  <c r="S99" i="1"/>
  <c r="T99" i="1" s="1"/>
  <c r="W99" i="1" s="1"/>
  <c r="U99" i="1" l="1"/>
  <c r="D99" i="1" l="1"/>
  <c r="C99" i="1"/>
  <c r="F99" i="1" s="1"/>
  <c r="K100" i="1" l="1"/>
  <c r="H99" i="1"/>
  <c r="E99" i="1"/>
  <c r="I99" i="1" s="1"/>
  <c r="Q100" i="1" l="1"/>
  <c r="L100" i="1"/>
  <c r="O100" i="1" s="1"/>
  <c r="M100" i="1"/>
  <c r="N100" i="1" s="1"/>
  <c r="R100" i="1" l="1"/>
  <c r="X100" i="1" s="1"/>
  <c r="S100" i="1"/>
  <c r="T100" i="1" s="1"/>
  <c r="W100" i="1" s="1"/>
  <c r="U100" i="1" l="1"/>
  <c r="C100" i="1" l="1"/>
  <c r="F100" i="1" s="1"/>
  <c r="D100" i="1"/>
  <c r="H100" i="1" l="1"/>
  <c r="K101" i="1"/>
  <c r="E100" i="1"/>
  <c r="I100" i="1" s="1"/>
  <c r="L101" i="1" l="1"/>
  <c r="O101" i="1" s="1"/>
  <c r="Q101" i="1"/>
  <c r="M101" i="1"/>
  <c r="N101" i="1" s="1"/>
  <c r="R101" i="1" l="1"/>
  <c r="X101" i="1" s="1"/>
  <c r="S101" i="1"/>
  <c r="T101" i="1" s="1"/>
  <c r="W101" i="1" s="1"/>
  <c r="U101" i="1" l="1"/>
  <c r="D101" i="1" l="1"/>
  <c r="C101" i="1"/>
  <c r="F101" i="1" s="1"/>
  <c r="K102" i="1" l="1"/>
  <c r="H101" i="1"/>
  <c r="E101" i="1"/>
  <c r="I101" i="1" s="1"/>
  <c r="L102" i="1" l="1"/>
  <c r="O102" i="1" s="1"/>
  <c r="Q102" i="1"/>
  <c r="M102" i="1"/>
  <c r="N102" i="1" s="1"/>
  <c r="R102" i="1" l="1"/>
  <c r="X102" i="1" s="1"/>
  <c r="S102" i="1"/>
  <c r="T102" i="1" s="1"/>
  <c r="W102" i="1" s="1"/>
  <c r="U102" i="1" l="1"/>
  <c r="C102" i="1" l="1"/>
  <c r="F102" i="1" s="1"/>
  <c r="D102" i="1"/>
  <c r="H102" i="1" l="1"/>
  <c r="K103" i="1"/>
  <c r="E102" i="1"/>
  <c r="I102" i="1" s="1"/>
  <c r="L103" i="1" l="1"/>
  <c r="O103" i="1" s="1"/>
  <c r="Q103" i="1"/>
  <c r="M103" i="1"/>
  <c r="N103" i="1" s="1"/>
  <c r="R103" i="1" l="1"/>
  <c r="X103" i="1" s="1"/>
  <c r="S103" i="1"/>
  <c r="T103" i="1" s="1"/>
  <c r="W103" i="1" s="1"/>
  <c r="U103" i="1" l="1"/>
  <c r="C103" i="1" l="1"/>
  <c r="F103" i="1" s="1"/>
  <c r="D103" i="1"/>
  <c r="H103" i="1" l="1"/>
  <c r="K104" i="1"/>
  <c r="E103" i="1"/>
  <c r="I103" i="1" s="1"/>
  <c r="L104" i="1" l="1"/>
  <c r="O104" i="1" s="1"/>
  <c r="Q104" i="1"/>
  <c r="M104" i="1"/>
  <c r="N104" i="1" s="1"/>
  <c r="R104" i="1" l="1"/>
  <c r="X104" i="1" s="1"/>
  <c r="S104" i="1"/>
  <c r="T104" i="1" s="1"/>
  <c r="W104" i="1" s="1"/>
  <c r="U104" i="1" l="1"/>
  <c r="C104" i="1" l="1"/>
  <c r="F104" i="1" s="1"/>
  <c r="D104" i="1"/>
  <c r="H104" i="1" l="1"/>
  <c r="K105" i="1"/>
  <c r="E104" i="1"/>
  <c r="I104" i="1" s="1"/>
  <c r="Q105" i="1" l="1"/>
  <c r="L105" i="1"/>
  <c r="O105" i="1" s="1"/>
  <c r="M105" i="1"/>
  <c r="N105" i="1" s="1"/>
  <c r="R105" i="1" l="1"/>
  <c r="X105" i="1" s="1"/>
  <c r="S105" i="1"/>
  <c r="T105" i="1" s="1"/>
  <c r="W105" i="1" s="1"/>
  <c r="U105" i="1" l="1"/>
  <c r="D105" i="1" l="1"/>
  <c r="C105" i="1"/>
  <c r="F105" i="1" s="1"/>
  <c r="H105" i="1" l="1"/>
  <c r="K106" i="1"/>
  <c r="E105" i="1"/>
  <c r="I105" i="1" s="1"/>
  <c r="Q106" i="1" l="1"/>
  <c r="L106" i="1"/>
  <c r="O106" i="1" s="1"/>
  <c r="M106" i="1"/>
  <c r="N106" i="1" s="1"/>
  <c r="R106" i="1" l="1"/>
  <c r="X106" i="1" s="1"/>
  <c r="S106" i="1"/>
  <c r="T106" i="1" s="1"/>
  <c r="W106" i="1" s="1"/>
  <c r="U106" i="1" l="1"/>
  <c r="D106" i="1" l="1"/>
  <c r="C106" i="1"/>
  <c r="F106" i="1" s="1"/>
  <c r="H106" i="1" l="1"/>
  <c r="K107" i="1"/>
  <c r="E106" i="1"/>
  <c r="I106" i="1" s="1"/>
  <c r="Q107" i="1" l="1"/>
  <c r="L107" i="1"/>
  <c r="O107" i="1" s="1"/>
  <c r="M107" i="1"/>
  <c r="N107" i="1" s="1"/>
  <c r="R107" i="1" l="1"/>
  <c r="X107" i="1" s="1"/>
  <c r="S107" i="1"/>
  <c r="T107" i="1" s="1"/>
  <c r="W107" i="1" s="1"/>
  <c r="U107" i="1" l="1"/>
  <c r="D107" i="1" l="1"/>
  <c r="C107" i="1"/>
  <c r="F107" i="1" s="1"/>
  <c r="K108" i="1" l="1"/>
  <c r="H107" i="1"/>
  <c r="E107" i="1"/>
  <c r="I107" i="1" s="1"/>
  <c r="L108" i="1" l="1"/>
  <c r="O108" i="1" s="1"/>
  <c r="Q108" i="1"/>
  <c r="M108" i="1"/>
  <c r="N108" i="1" s="1"/>
  <c r="R108" i="1" l="1"/>
  <c r="X108" i="1" s="1"/>
  <c r="S108" i="1"/>
  <c r="T108" i="1" s="1"/>
  <c r="W108" i="1" s="1"/>
  <c r="U108" i="1" l="1"/>
  <c r="D108" i="1" l="1"/>
  <c r="C108" i="1"/>
  <c r="F108" i="1" s="1"/>
  <c r="H108" i="1" l="1"/>
  <c r="K109" i="1"/>
  <c r="E108" i="1"/>
  <c r="I108" i="1" s="1"/>
  <c r="Q109" i="1" l="1"/>
  <c r="L109" i="1"/>
  <c r="O109" i="1" s="1"/>
  <c r="M109" i="1"/>
  <c r="N109" i="1" s="1"/>
  <c r="R109" i="1" l="1"/>
  <c r="X109" i="1" s="1"/>
  <c r="S109" i="1"/>
  <c r="T109" i="1" s="1"/>
  <c r="W109" i="1" s="1"/>
  <c r="U109" i="1" l="1"/>
  <c r="D109" i="1" l="1"/>
  <c r="C109" i="1"/>
  <c r="F109" i="1" s="1"/>
  <c r="H109" i="1" l="1"/>
  <c r="K110" i="1"/>
  <c r="E109" i="1"/>
  <c r="I109" i="1" s="1"/>
  <c r="L110" i="1" l="1"/>
  <c r="O110" i="1" s="1"/>
  <c r="Q110" i="1"/>
  <c r="M110" i="1"/>
  <c r="N110" i="1" s="1"/>
  <c r="R110" i="1" l="1"/>
  <c r="X110" i="1" s="1"/>
  <c r="S110" i="1"/>
  <c r="T110" i="1" s="1"/>
  <c r="W110" i="1" s="1"/>
  <c r="U110" i="1" l="1"/>
  <c r="D110" i="1" l="1"/>
  <c r="C110" i="1"/>
  <c r="F110" i="1" s="1"/>
  <c r="H110" i="1" l="1"/>
  <c r="K111" i="1"/>
  <c r="E110" i="1"/>
  <c r="I110" i="1" s="1"/>
  <c r="L111" i="1" l="1"/>
  <c r="O111" i="1" s="1"/>
  <c r="Q111" i="1"/>
  <c r="M111" i="1"/>
  <c r="N111" i="1" s="1"/>
  <c r="R111" i="1" l="1"/>
  <c r="X111" i="1" s="1"/>
  <c r="S111" i="1"/>
  <c r="T111" i="1" s="1"/>
  <c r="W111" i="1" s="1"/>
  <c r="U111" i="1" l="1"/>
  <c r="C111" i="1" l="1"/>
  <c r="F111" i="1" s="1"/>
  <c r="D111" i="1"/>
  <c r="K112" i="1" l="1"/>
  <c r="H111" i="1"/>
  <c r="E111" i="1"/>
  <c r="I111" i="1" s="1"/>
  <c r="Q112" i="1" l="1"/>
  <c r="L112" i="1"/>
  <c r="O112" i="1" s="1"/>
  <c r="M112" i="1"/>
  <c r="N112" i="1" s="1"/>
  <c r="R112" i="1" l="1"/>
  <c r="X112" i="1" s="1"/>
  <c r="S112" i="1"/>
  <c r="T112" i="1" s="1"/>
  <c r="W112" i="1" s="1"/>
  <c r="U112" i="1" l="1"/>
  <c r="D112" i="1" l="1"/>
  <c r="C112" i="1"/>
  <c r="F112" i="1" s="1"/>
  <c r="H112" i="1" l="1"/>
  <c r="K113" i="1"/>
  <c r="E112" i="1"/>
  <c r="I112" i="1" s="1"/>
  <c r="Q113" i="1" l="1"/>
  <c r="L113" i="1"/>
  <c r="O113" i="1" s="1"/>
  <c r="M113" i="1"/>
  <c r="N113" i="1" s="1"/>
  <c r="R113" i="1" l="1"/>
  <c r="X113" i="1" s="1"/>
  <c r="S113" i="1"/>
  <c r="T113" i="1" s="1"/>
  <c r="W113" i="1" s="1"/>
  <c r="U113" i="1" l="1"/>
  <c r="D113" i="1" l="1"/>
  <c r="C113" i="1"/>
  <c r="F113" i="1" s="1"/>
  <c r="K114" i="1" l="1"/>
  <c r="H113" i="1"/>
  <c r="E113" i="1"/>
  <c r="I113" i="1" s="1"/>
  <c r="Q114" i="1" l="1"/>
  <c r="L114" i="1"/>
  <c r="O114" i="1" s="1"/>
  <c r="M114" i="1"/>
  <c r="N114" i="1" s="1"/>
  <c r="R114" i="1" l="1"/>
  <c r="X114" i="1" s="1"/>
  <c r="S114" i="1"/>
  <c r="T114" i="1" s="1"/>
  <c r="W114" i="1" s="1"/>
  <c r="U114" i="1" l="1"/>
  <c r="C114" i="1" l="1"/>
  <c r="F114" i="1" s="1"/>
  <c r="D114" i="1"/>
  <c r="K115" i="1" l="1"/>
  <c r="H114" i="1"/>
  <c r="E114" i="1"/>
  <c r="I114" i="1" s="1"/>
  <c r="L115" i="1" l="1"/>
  <c r="O115" i="1" s="1"/>
  <c r="Q115" i="1"/>
  <c r="M115" i="1"/>
  <c r="N115" i="1" s="1"/>
  <c r="R115" i="1" l="1"/>
  <c r="X115" i="1" s="1"/>
  <c r="S115" i="1"/>
  <c r="T115" i="1" s="1"/>
  <c r="W115" i="1" s="1"/>
  <c r="U115" i="1" l="1"/>
  <c r="C115" i="1" l="1"/>
  <c r="F115" i="1" s="1"/>
  <c r="D115" i="1"/>
  <c r="K116" i="1" l="1"/>
  <c r="H115" i="1"/>
  <c r="E115" i="1"/>
  <c r="I115" i="1" s="1"/>
  <c r="Q116" i="1" l="1"/>
  <c r="L116" i="1"/>
  <c r="O116" i="1" s="1"/>
  <c r="M116" i="1"/>
  <c r="N116" i="1" s="1"/>
  <c r="R116" i="1" l="1"/>
  <c r="X116" i="1" s="1"/>
  <c r="S116" i="1"/>
  <c r="T116" i="1" s="1"/>
  <c r="W116" i="1" s="1"/>
  <c r="U116" i="1" l="1"/>
  <c r="D116" i="1" l="1"/>
  <c r="C116" i="1"/>
  <c r="F116" i="1" s="1"/>
  <c r="H116" i="1" l="1"/>
  <c r="K117" i="1"/>
  <c r="E116" i="1"/>
  <c r="I116" i="1" s="1"/>
  <c r="Q117" i="1" l="1"/>
  <c r="L117" i="1"/>
  <c r="O117" i="1" s="1"/>
  <c r="M117" i="1"/>
  <c r="N117" i="1" s="1"/>
  <c r="R117" i="1" l="1"/>
  <c r="X117" i="1" s="1"/>
  <c r="S117" i="1"/>
  <c r="T117" i="1" s="1"/>
  <c r="W117" i="1" s="1"/>
  <c r="U117" i="1" l="1"/>
  <c r="D117" i="1" l="1"/>
  <c r="C117" i="1"/>
  <c r="F117" i="1" s="1"/>
  <c r="H117" i="1" l="1"/>
  <c r="K118" i="1"/>
  <c r="E117" i="1"/>
  <c r="I117" i="1" s="1"/>
  <c r="Q118" i="1" l="1"/>
  <c r="L118" i="1"/>
  <c r="O118" i="1" s="1"/>
  <c r="M118" i="1"/>
  <c r="N118" i="1" s="1"/>
  <c r="R118" i="1" l="1"/>
  <c r="X118" i="1" s="1"/>
  <c r="S118" i="1"/>
  <c r="T118" i="1" s="1"/>
  <c r="W118" i="1" s="1"/>
  <c r="U118" i="1" l="1"/>
  <c r="C118" i="1" l="1"/>
  <c r="F118" i="1" s="1"/>
  <c r="D118" i="1"/>
  <c r="H118" i="1" l="1"/>
  <c r="K119" i="1"/>
  <c r="E118" i="1"/>
  <c r="I118" i="1" s="1"/>
  <c r="Q119" i="1" l="1"/>
  <c r="L119" i="1"/>
  <c r="O119" i="1" s="1"/>
  <c r="M119" i="1"/>
  <c r="N119" i="1" s="1"/>
  <c r="R119" i="1" l="1"/>
  <c r="X119" i="1" s="1"/>
  <c r="S119" i="1"/>
  <c r="T119" i="1" s="1"/>
  <c r="W119" i="1" s="1"/>
  <c r="U119" i="1" l="1"/>
  <c r="D119" i="1" l="1"/>
  <c r="C119" i="1"/>
  <c r="F119" i="1" s="1"/>
  <c r="K120" i="1" l="1"/>
  <c r="H119" i="1"/>
  <c r="E119" i="1"/>
  <c r="I119" i="1" s="1"/>
  <c r="Q120" i="1" l="1"/>
  <c r="L120" i="1"/>
  <c r="O120" i="1" s="1"/>
  <c r="M120" i="1"/>
  <c r="N120" i="1" s="1"/>
  <c r="R120" i="1" l="1"/>
  <c r="X120" i="1" s="1"/>
  <c r="S120" i="1"/>
  <c r="T120" i="1" s="1"/>
  <c r="W120" i="1" s="1"/>
  <c r="U120" i="1" l="1"/>
  <c r="C120" i="1" l="1"/>
  <c r="F120" i="1" s="1"/>
  <c r="D120" i="1"/>
  <c r="K121" i="1" l="1"/>
  <c r="H120" i="1"/>
  <c r="E120" i="1"/>
  <c r="I120" i="1" s="1"/>
  <c r="L121" i="1" l="1"/>
  <c r="O121" i="1" s="1"/>
  <c r="Q121" i="1"/>
  <c r="M121" i="1"/>
  <c r="N121" i="1" s="1"/>
  <c r="R121" i="1" l="1"/>
  <c r="X121" i="1" s="1"/>
  <c r="S121" i="1"/>
  <c r="T121" i="1" s="1"/>
  <c r="W121" i="1"/>
  <c r="U121" i="1" l="1"/>
  <c r="D121" i="1" l="1"/>
  <c r="C121" i="1"/>
  <c r="F121" i="1" s="1"/>
  <c r="H121" i="1" l="1"/>
  <c r="K122" i="1"/>
  <c r="E121" i="1"/>
  <c r="I121" i="1" s="1"/>
  <c r="Q122" i="1" l="1"/>
  <c r="L122" i="1"/>
  <c r="O122" i="1" s="1"/>
  <c r="M122" i="1"/>
  <c r="N122" i="1" s="1"/>
  <c r="R122" i="1" l="1"/>
  <c r="X122" i="1" s="1"/>
  <c r="S122" i="1"/>
  <c r="T122" i="1" s="1"/>
  <c r="W122" i="1" s="1"/>
  <c r="U122" i="1" l="1"/>
  <c r="C122" i="1" l="1"/>
  <c r="F122" i="1" s="1"/>
  <c r="D122" i="1"/>
  <c r="K123" i="1" l="1"/>
  <c r="H122" i="1"/>
  <c r="E122" i="1"/>
  <c r="I122" i="1" s="1"/>
  <c r="L123" i="1" l="1"/>
  <c r="O123" i="1" s="1"/>
  <c r="Q123" i="1"/>
  <c r="M123" i="1"/>
  <c r="N123" i="1" s="1"/>
  <c r="R123" i="1" l="1"/>
  <c r="X123" i="1" s="1"/>
  <c r="S123" i="1"/>
  <c r="T123" i="1" s="1"/>
  <c r="W123" i="1" s="1"/>
  <c r="U123" i="1" l="1"/>
  <c r="C123" i="1" l="1"/>
  <c r="F123" i="1" s="1"/>
  <c r="D123" i="1"/>
  <c r="H123" i="1" l="1"/>
  <c r="K124" i="1"/>
  <c r="E123" i="1"/>
  <c r="I123" i="1" s="1"/>
  <c r="Q124" i="1" l="1"/>
  <c r="L124" i="1"/>
  <c r="O124" i="1" s="1"/>
  <c r="M124" i="1"/>
  <c r="N124" i="1" s="1"/>
  <c r="R124" i="1" l="1"/>
  <c r="X124" i="1" s="1"/>
  <c r="S124" i="1"/>
  <c r="T124" i="1" s="1"/>
  <c r="U124" i="1" s="1"/>
  <c r="D124" i="1" l="1"/>
  <c r="C124" i="1"/>
  <c r="F124" i="1" s="1"/>
  <c r="W124" i="1"/>
  <c r="K125" i="1" l="1"/>
  <c r="H124" i="1"/>
  <c r="E124" i="1"/>
  <c r="I124" i="1" s="1"/>
  <c r="L125" i="1" l="1"/>
  <c r="O125" i="1" s="1"/>
  <c r="Q125" i="1"/>
  <c r="M125" i="1"/>
  <c r="N125" i="1" s="1"/>
  <c r="R125" i="1" l="1"/>
  <c r="X125" i="1" s="1"/>
  <c r="S125" i="1"/>
  <c r="T125" i="1" s="1"/>
  <c r="W125" i="1" s="1"/>
  <c r="U125" i="1" l="1"/>
  <c r="D125" i="1" l="1"/>
  <c r="C125" i="1"/>
  <c r="F125" i="1" s="1"/>
  <c r="H125" i="1" l="1"/>
  <c r="K126" i="1"/>
  <c r="E125" i="1"/>
  <c r="I125" i="1" s="1"/>
  <c r="Q126" i="1" l="1"/>
  <c r="L126" i="1"/>
  <c r="O126" i="1" s="1"/>
  <c r="M126" i="1"/>
  <c r="N126" i="1" s="1"/>
  <c r="R126" i="1" l="1"/>
  <c r="X126" i="1" s="1"/>
  <c r="S126" i="1"/>
  <c r="T126" i="1" s="1"/>
  <c r="W126" i="1" s="1"/>
  <c r="U126" i="1" l="1"/>
  <c r="C126" i="1" l="1"/>
  <c r="F126" i="1" s="1"/>
  <c r="D126" i="1"/>
  <c r="K127" i="1" l="1"/>
  <c r="H126" i="1"/>
  <c r="E126" i="1"/>
  <c r="I126" i="1" s="1"/>
  <c r="Q127" i="1" l="1"/>
  <c r="L127" i="1"/>
  <c r="O127" i="1" s="1"/>
  <c r="M127" i="1"/>
  <c r="N127" i="1" s="1"/>
  <c r="R127" i="1" l="1"/>
  <c r="X127" i="1" s="1"/>
  <c r="S127" i="1"/>
  <c r="T127" i="1" s="1"/>
  <c r="W127" i="1" s="1"/>
  <c r="U127" i="1" l="1"/>
  <c r="C127" i="1" l="1"/>
  <c r="F127" i="1" s="1"/>
  <c r="D127" i="1"/>
  <c r="H127" i="1" l="1"/>
  <c r="K128" i="1"/>
  <c r="E127" i="1"/>
  <c r="I127" i="1" s="1"/>
  <c r="L128" i="1" l="1"/>
  <c r="O128" i="1" s="1"/>
  <c r="Q128" i="1"/>
  <c r="M128" i="1"/>
  <c r="N128" i="1" s="1"/>
  <c r="R128" i="1" l="1"/>
  <c r="X128" i="1" s="1"/>
  <c r="S128" i="1"/>
  <c r="T128" i="1" s="1"/>
  <c r="W128" i="1" s="1"/>
  <c r="U128" i="1" l="1"/>
  <c r="D128" i="1" l="1"/>
  <c r="C128" i="1"/>
  <c r="F128" i="1" s="1"/>
  <c r="K129" i="1" l="1"/>
  <c r="H128" i="1"/>
  <c r="E128" i="1"/>
  <c r="I128" i="1" s="1"/>
  <c r="Q129" i="1" l="1"/>
  <c r="L129" i="1"/>
  <c r="O129" i="1" s="1"/>
  <c r="M129" i="1"/>
  <c r="N129" i="1" s="1"/>
  <c r="R129" i="1" l="1"/>
  <c r="X129" i="1" s="1"/>
  <c r="S129" i="1"/>
  <c r="T129" i="1" s="1"/>
  <c r="W129" i="1" s="1"/>
  <c r="U129" i="1" l="1"/>
  <c r="D129" i="1" l="1"/>
  <c r="C129" i="1"/>
  <c r="F129" i="1" s="1"/>
  <c r="H129" i="1" l="1"/>
  <c r="K130" i="1"/>
  <c r="E129" i="1"/>
  <c r="I129" i="1" s="1"/>
  <c r="Q130" i="1" l="1"/>
  <c r="L130" i="1"/>
  <c r="O130" i="1" s="1"/>
  <c r="M130" i="1"/>
  <c r="N130" i="1" s="1"/>
  <c r="R130" i="1" l="1"/>
  <c r="X130" i="1" s="1"/>
  <c r="S130" i="1"/>
  <c r="T130" i="1" s="1"/>
  <c r="W130" i="1" s="1"/>
  <c r="U130" i="1" l="1"/>
  <c r="C130" i="1" l="1"/>
  <c r="F130" i="1" s="1"/>
  <c r="D130" i="1"/>
  <c r="H130" i="1" l="1"/>
  <c r="K131" i="1"/>
  <c r="E130" i="1"/>
  <c r="I130" i="1" s="1"/>
  <c r="L131" i="1" l="1"/>
  <c r="O131" i="1" s="1"/>
  <c r="Q131" i="1"/>
  <c r="M131" i="1"/>
  <c r="N131" i="1" s="1"/>
  <c r="R131" i="1" l="1"/>
  <c r="X131" i="1" s="1"/>
  <c r="S131" i="1"/>
  <c r="T131" i="1" s="1"/>
  <c r="W131" i="1" s="1"/>
  <c r="U131" i="1" l="1"/>
  <c r="C131" i="1" l="1"/>
  <c r="F131" i="1" s="1"/>
  <c r="D131" i="1"/>
  <c r="K132" i="1" l="1"/>
  <c r="H131" i="1"/>
  <c r="E131" i="1"/>
  <c r="I131" i="1" s="1"/>
  <c r="L132" i="1" l="1"/>
  <c r="O132" i="1" s="1"/>
  <c r="Q132" i="1"/>
  <c r="M132" i="1"/>
  <c r="N132" i="1" s="1"/>
  <c r="R132" i="1" l="1"/>
  <c r="X132" i="1" s="1"/>
  <c r="S132" i="1"/>
  <c r="T132" i="1" s="1"/>
  <c r="W132" i="1" s="1"/>
  <c r="U132" i="1" l="1"/>
  <c r="C132" i="1" l="1"/>
  <c r="F132" i="1" s="1"/>
  <c r="D132" i="1"/>
  <c r="K133" i="1" l="1"/>
  <c r="H132" i="1"/>
  <c r="E132" i="1"/>
  <c r="I132" i="1" s="1"/>
  <c r="Q133" i="1" l="1"/>
  <c r="L133" i="1"/>
  <c r="O133" i="1" s="1"/>
  <c r="M133" i="1"/>
  <c r="N133" i="1" s="1"/>
  <c r="R133" i="1" l="1"/>
  <c r="X133" i="1" s="1"/>
  <c r="S133" i="1"/>
  <c r="T133" i="1" s="1"/>
  <c r="W133" i="1" s="1"/>
  <c r="U133" i="1" l="1"/>
  <c r="C133" i="1" l="1"/>
  <c r="F133" i="1" s="1"/>
  <c r="D133" i="1"/>
  <c r="H133" i="1" l="1"/>
  <c r="K134" i="1"/>
  <c r="E133" i="1"/>
  <c r="I133" i="1" s="1"/>
  <c r="Q134" i="1" l="1"/>
  <c r="L134" i="1"/>
  <c r="O134" i="1" s="1"/>
  <c r="M134" i="1"/>
  <c r="N134" i="1" s="1"/>
  <c r="R134" i="1" l="1"/>
  <c r="X134" i="1" s="1"/>
  <c r="S134" i="1"/>
  <c r="T134" i="1" s="1"/>
  <c r="W134" i="1" s="1"/>
  <c r="U134" i="1" l="1"/>
  <c r="D134" i="1" l="1"/>
  <c r="C134" i="1"/>
  <c r="F134" i="1" s="1"/>
  <c r="K135" i="1" l="1"/>
  <c r="H134" i="1"/>
  <c r="E134" i="1"/>
  <c r="I134" i="1" s="1"/>
  <c r="Q135" i="1" l="1"/>
  <c r="L135" i="1"/>
  <c r="O135" i="1" s="1"/>
  <c r="M135" i="1"/>
  <c r="N135" i="1" s="1"/>
  <c r="R135" i="1" l="1"/>
  <c r="X135" i="1" s="1"/>
  <c r="S135" i="1"/>
  <c r="T135" i="1" s="1"/>
  <c r="W135" i="1" s="1"/>
  <c r="U135" i="1" l="1"/>
  <c r="C135" i="1" l="1"/>
  <c r="F135" i="1" s="1"/>
  <c r="D135" i="1"/>
  <c r="K136" i="1" l="1"/>
  <c r="H135" i="1"/>
  <c r="E135" i="1"/>
  <c r="I135" i="1" s="1"/>
  <c r="Q136" i="1" l="1"/>
  <c r="L136" i="1"/>
  <c r="O136" i="1" s="1"/>
  <c r="M136" i="1"/>
  <c r="N136" i="1" s="1"/>
  <c r="R136" i="1" l="1"/>
  <c r="X136" i="1" s="1"/>
  <c r="S136" i="1"/>
  <c r="T136" i="1" s="1"/>
  <c r="W136" i="1" s="1"/>
  <c r="U136" i="1" l="1"/>
  <c r="D136" i="1" l="1"/>
  <c r="C136" i="1"/>
  <c r="F136" i="1" s="1"/>
  <c r="H136" i="1" l="1"/>
  <c r="K137" i="1"/>
  <c r="E136" i="1"/>
  <c r="I136" i="1" s="1"/>
  <c r="Q137" i="1" l="1"/>
  <c r="L137" i="1"/>
  <c r="O137" i="1" s="1"/>
  <c r="M137" i="1"/>
  <c r="N137" i="1" s="1"/>
  <c r="R137" i="1" l="1"/>
  <c r="X137" i="1" s="1"/>
  <c r="S137" i="1"/>
  <c r="T137" i="1" s="1"/>
  <c r="W137" i="1" s="1"/>
  <c r="U137" i="1" l="1"/>
  <c r="D137" i="1" l="1"/>
  <c r="C137" i="1"/>
  <c r="F137" i="1" s="1"/>
  <c r="H137" i="1" l="1"/>
  <c r="K138" i="1"/>
  <c r="E137" i="1"/>
  <c r="I137" i="1" s="1"/>
  <c r="L138" i="1" l="1"/>
  <c r="O138" i="1" s="1"/>
  <c r="Q138" i="1"/>
  <c r="M138" i="1"/>
  <c r="N138" i="1" s="1"/>
  <c r="R138" i="1" l="1"/>
  <c r="X138" i="1" s="1"/>
  <c r="S138" i="1"/>
  <c r="T138" i="1" s="1"/>
  <c r="W138" i="1" s="1"/>
  <c r="U138" i="1" l="1"/>
  <c r="D138" i="1" l="1"/>
  <c r="C138" i="1"/>
  <c r="F138" i="1" s="1"/>
  <c r="K139" i="1" l="1"/>
  <c r="H138" i="1"/>
  <c r="E138" i="1"/>
  <c r="I138" i="1" s="1"/>
  <c r="L139" i="1" l="1"/>
  <c r="O139" i="1" s="1"/>
  <c r="Q139" i="1"/>
  <c r="M139" i="1"/>
  <c r="N139" i="1" s="1"/>
  <c r="R139" i="1" l="1"/>
  <c r="X139" i="1" s="1"/>
  <c r="S139" i="1"/>
  <c r="T139" i="1" s="1"/>
  <c r="W139" i="1" s="1"/>
  <c r="U139" i="1" l="1"/>
  <c r="C139" i="1" l="1"/>
  <c r="F139" i="1" s="1"/>
  <c r="D139" i="1"/>
  <c r="H139" i="1" l="1"/>
  <c r="K140" i="1"/>
  <c r="E139" i="1"/>
  <c r="I139" i="1" s="1"/>
  <c r="Q140" i="1" l="1"/>
  <c r="L140" i="1"/>
  <c r="O140" i="1" s="1"/>
  <c r="M140" i="1"/>
  <c r="N140" i="1" s="1"/>
  <c r="R140" i="1" l="1"/>
  <c r="X140" i="1" s="1"/>
  <c r="S140" i="1"/>
  <c r="T140" i="1" s="1"/>
  <c r="W140" i="1" s="1"/>
  <c r="U140" i="1" l="1"/>
  <c r="D140" i="1" l="1"/>
  <c r="C140" i="1"/>
  <c r="F140" i="1" s="1"/>
  <c r="K141" i="1" l="1"/>
  <c r="H140" i="1"/>
  <c r="E140" i="1"/>
  <c r="I140" i="1" s="1"/>
  <c r="L141" i="1" l="1"/>
  <c r="O141" i="1" s="1"/>
  <c r="Q141" i="1"/>
  <c r="M141" i="1"/>
  <c r="N141" i="1" s="1"/>
  <c r="R141" i="1" l="1"/>
  <c r="X141" i="1" s="1"/>
  <c r="S141" i="1"/>
  <c r="T141" i="1" s="1"/>
  <c r="W141" i="1" s="1"/>
  <c r="U141" i="1" l="1"/>
  <c r="C141" i="1" l="1"/>
  <c r="F141" i="1" s="1"/>
  <c r="D141" i="1"/>
  <c r="H141" i="1" l="1"/>
  <c r="K142" i="1"/>
  <c r="E141" i="1"/>
  <c r="I141" i="1" s="1"/>
  <c r="L142" i="1" l="1"/>
  <c r="O142" i="1" s="1"/>
  <c r="Q142" i="1"/>
  <c r="M142" i="1"/>
  <c r="N142" i="1" s="1"/>
  <c r="R142" i="1" l="1"/>
  <c r="X142" i="1" s="1"/>
  <c r="S142" i="1"/>
  <c r="T142" i="1" s="1"/>
  <c r="W142" i="1" s="1"/>
  <c r="U142" i="1" l="1"/>
  <c r="D142" i="1" l="1"/>
  <c r="C142" i="1"/>
  <c r="F142" i="1" s="1"/>
  <c r="K143" i="1" l="1"/>
  <c r="H142" i="1"/>
  <c r="E142" i="1"/>
  <c r="I142" i="1" s="1"/>
  <c r="L143" i="1" l="1"/>
  <c r="O143" i="1" s="1"/>
  <c r="Q143" i="1"/>
  <c r="M143" i="1"/>
  <c r="N143" i="1" s="1"/>
  <c r="R143" i="1" l="1"/>
  <c r="X143" i="1" s="1"/>
  <c r="S143" i="1"/>
  <c r="T143" i="1" s="1"/>
  <c r="W143" i="1" s="1"/>
  <c r="U143" i="1" l="1"/>
  <c r="D143" i="1" l="1"/>
  <c r="C143" i="1"/>
  <c r="F143" i="1" s="1"/>
  <c r="H143" i="1" l="1"/>
  <c r="K144" i="1"/>
  <c r="E143" i="1"/>
  <c r="I143" i="1" s="1"/>
  <c r="Q144" i="1" l="1"/>
  <c r="L144" i="1"/>
  <c r="O144" i="1" s="1"/>
  <c r="M144" i="1"/>
  <c r="N144" i="1" s="1"/>
  <c r="R144" i="1" l="1"/>
  <c r="X144" i="1" s="1"/>
  <c r="S144" i="1"/>
  <c r="T144" i="1" s="1"/>
  <c r="W144" i="1" s="1"/>
  <c r="U144" i="1" l="1"/>
  <c r="D144" i="1" l="1"/>
  <c r="C144" i="1"/>
  <c r="F144" i="1" s="1"/>
  <c r="K145" i="1" l="1"/>
  <c r="H144" i="1"/>
  <c r="E144" i="1"/>
  <c r="I144" i="1" s="1"/>
  <c r="Q145" i="1" l="1"/>
  <c r="L145" i="1"/>
  <c r="O145" i="1" s="1"/>
  <c r="M145" i="1"/>
  <c r="N145" i="1" s="1"/>
  <c r="R145" i="1" l="1"/>
  <c r="X145" i="1" s="1"/>
  <c r="S145" i="1"/>
  <c r="T145" i="1" s="1"/>
  <c r="W145" i="1" s="1"/>
  <c r="U145" i="1" l="1"/>
  <c r="D145" i="1" l="1"/>
  <c r="C145" i="1"/>
  <c r="F145" i="1" s="1"/>
  <c r="H145" i="1" l="1"/>
  <c r="K146" i="1"/>
  <c r="E145" i="1"/>
  <c r="I145" i="1" s="1"/>
  <c r="Q146" i="1" l="1"/>
  <c r="L146" i="1"/>
  <c r="O146" i="1" s="1"/>
  <c r="M146" i="1"/>
  <c r="N146" i="1" s="1"/>
  <c r="R146" i="1" l="1"/>
  <c r="X146" i="1" s="1"/>
  <c r="S146" i="1"/>
  <c r="T146" i="1" s="1"/>
  <c r="W146" i="1" s="1"/>
  <c r="U146" i="1" l="1"/>
  <c r="C146" i="1" l="1"/>
  <c r="F146" i="1" s="1"/>
  <c r="D146" i="1"/>
  <c r="K147" i="1" l="1"/>
  <c r="H146" i="1"/>
  <c r="E146" i="1"/>
  <c r="I146" i="1" s="1"/>
  <c r="L147" i="1" l="1"/>
  <c r="O147" i="1" s="1"/>
  <c r="Q147" i="1"/>
  <c r="M147" i="1"/>
  <c r="N147" i="1" s="1"/>
  <c r="R147" i="1" l="1"/>
  <c r="X147" i="1" s="1"/>
  <c r="S147" i="1"/>
  <c r="T147" i="1" s="1"/>
  <c r="W147" i="1" s="1"/>
  <c r="U147" i="1" l="1"/>
  <c r="C147" i="1" l="1"/>
  <c r="F147" i="1" s="1"/>
  <c r="D147" i="1"/>
  <c r="K148" i="1" l="1"/>
  <c r="H147" i="1"/>
  <c r="E147" i="1"/>
  <c r="I147" i="1" s="1"/>
  <c r="Q148" i="1" l="1"/>
  <c r="L148" i="1"/>
  <c r="O148" i="1" s="1"/>
  <c r="M148" i="1"/>
  <c r="N148" i="1" s="1"/>
  <c r="R148" i="1" l="1"/>
  <c r="X148" i="1" s="1"/>
  <c r="S148" i="1"/>
  <c r="T148" i="1" s="1"/>
  <c r="W148" i="1" s="1"/>
  <c r="U148" i="1" l="1"/>
  <c r="D148" i="1" l="1"/>
  <c r="C148" i="1"/>
  <c r="F148" i="1" s="1"/>
  <c r="K149" i="1" l="1"/>
  <c r="H148" i="1"/>
  <c r="E148" i="1"/>
  <c r="I148" i="1" s="1"/>
  <c r="L149" i="1" l="1"/>
  <c r="O149" i="1" s="1"/>
  <c r="Q149" i="1"/>
  <c r="M149" i="1"/>
  <c r="N149" i="1" s="1"/>
  <c r="R149" i="1" l="1"/>
  <c r="X149" i="1" s="1"/>
  <c r="S149" i="1"/>
  <c r="T149" i="1" s="1"/>
  <c r="W149" i="1" s="1"/>
  <c r="U149" i="1" l="1"/>
  <c r="D149" i="1" l="1"/>
  <c r="C149" i="1"/>
  <c r="F149" i="1" s="1"/>
  <c r="K150" i="1" l="1"/>
  <c r="H149" i="1"/>
  <c r="E149" i="1"/>
  <c r="I149" i="1" s="1"/>
  <c r="L150" i="1" l="1"/>
  <c r="O150" i="1" s="1"/>
  <c r="Q150" i="1"/>
  <c r="M150" i="1"/>
  <c r="N150" i="1" s="1"/>
  <c r="R150" i="1" l="1"/>
  <c r="X150" i="1" s="1"/>
  <c r="S150" i="1"/>
  <c r="T150" i="1" s="1"/>
  <c r="W150" i="1" s="1"/>
  <c r="U150" i="1" l="1"/>
  <c r="C150" i="1" l="1"/>
  <c r="F150" i="1" s="1"/>
  <c r="D150" i="1"/>
  <c r="K151" i="1" l="1"/>
  <c r="H150" i="1"/>
  <c r="E150" i="1"/>
  <c r="I150" i="1" s="1"/>
  <c r="Q151" i="1" l="1"/>
  <c r="L151" i="1"/>
  <c r="O151" i="1" s="1"/>
  <c r="M151" i="1"/>
  <c r="N151" i="1" s="1"/>
  <c r="R151" i="1" l="1"/>
  <c r="X151" i="1" s="1"/>
  <c r="S151" i="1"/>
  <c r="T151" i="1" s="1"/>
  <c r="W151" i="1" s="1"/>
  <c r="U151" i="1" l="1"/>
  <c r="D151" i="1" l="1"/>
  <c r="C151" i="1"/>
  <c r="F151" i="1" s="1"/>
  <c r="H151" i="1" l="1"/>
  <c r="K152" i="1"/>
  <c r="E151" i="1"/>
  <c r="I151" i="1" s="1"/>
  <c r="Q152" i="1" l="1"/>
  <c r="L152" i="1"/>
  <c r="O152" i="1" s="1"/>
  <c r="M152" i="1"/>
  <c r="N152" i="1" s="1"/>
  <c r="R152" i="1" l="1"/>
  <c r="X152" i="1" s="1"/>
  <c r="S152" i="1"/>
  <c r="T152" i="1" s="1"/>
  <c r="W152" i="1" s="1"/>
  <c r="U152" i="1" l="1"/>
  <c r="D152" i="1" l="1"/>
  <c r="C152" i="1"/>
  <c r="F152" i="1" s="1"/>
  <c r="K153" i="1" l="1"/>
  <c r="H152" i="1"/>
  <c r="E152" i="1"/>
  <c r="I152" i="1" s="1"/>
  <c r="L153" i="1" l="1"/>
  <c r="O153" i="1" s="1"/>
  <c r="Q153" i="1"/>
  <c r="M153" i="1"/>
  <c r="N153" i="1" s="1"/>
  <c r="R153" i="1" l="1"/>
  <c r="X153" i="1" s="1"/>
  <c r="S153" i="1"/>
  <c r="T153" i="1" s="1"/>
  <c r="W153" i="1" s="1"/>
  <c r="U153" i="1" l="1"/>
  <c r="C153" i="1" l="1"/>
  <c r="F153" i="1" s="1"/>
  <c r="D153" i="1"/>
  <c r="H153" i="1" l="1"/>
  <c r="K154" i="1"/>
  <c r="E153" i="1"/>
  <c r="I153" i="1" s="1"/>
  <c r="L154" i="1" l="1"/>
  <c r="O154" i="1" s="1"/>
  <c r="Q154" i="1"/>
  <c r="M154" i="1"/>
  <c r="N154" i="1" s="1"/>
  <c r="R154" i="1" l="1"/>
  <c r="X154" i="1" s="1"/>
  <c r="S154" i="1"/>
  <c r="T154" i="1" s="1"/>
  <c r="W154" i="1" s="1"/>
  <c r="U154" i="1" l="1"/>
  <c r="C154" i="1" l="1"/>
  <c r="F154" i="1" s="1"/>
  <c r="D154" i="1"/>
  <c r="H154" i="1" l="1"/>
  <c r="K155" i="1"/>
  <c r="E154" i="1"/>
  <c r="I154" i="1" s="1"/>
  <c r="L155" i="1" l="1"/>
  <c r="O155" i="1" s="1"/>
  <c r="Q155" i="1"/>
  <c r="M155" i="1"/>
  <c r="N155" i="1" s="1"/>
  <c r="R155" i="1" l="1"/>
  <c r="X155" i="1" s="1"/>
  <c r="S155" i="1"/>
  <c r="T155" i="1" s="1"/>
  <c r="W155" i="1" s="1"/>
  <c r="U155" i="1" l="1"/>
  <c r="D155" i="1" l="1"/>
  <c r="C155" i="1"/>
  <c r="F155" i="1" s="1"/>
  <c r="H155" i="1" l="1"/>
  <c r="K156" i="1"/>
  <c r="E155" i="1"/>
  <c r="I155" i="1" s="1"/>
  <c r="L156" i="1" l="1"/>
  <c r="O156" i="1" s="1"/>
  <c r="Q156" i="1"/>
  <c r="M156" i="1"/>
  <c r="N156" i="1" s="1"/>
  <c r="R156" i="1" l="1"/>
  <c r="X156" i="1" s="1"/>
  <c r="S156" i="1"/>
  <c r="T156" i="1" s="1"/>
  <c r="W156" i="1" s="1"/>
  <c r="U156" i="1" l="1"/>
  <c r="D156" i="1" l="1"/>
  <c r="C156" i="1"/>
  <c r="F156" i="1" s="1"/>
  <c r="K157" i="1" l="1"/>
  <c r="H156" i="1"/>
  <c r="E156" i="1"/>
  <c r="I156" i="1" s="1"/>
  <c r="L157" i="1" l="1"/>
  <c r="O157" i="1" s="1"/>
  <c r="Q157" i="1"/>
  <c r="M157" i="1"/>
  <c r="N157" i="1" s="1"/>
  <c r="R157" i="1" l="1"/>
  <c r="X157" i="1" s="1"/>
  <c r="S157" i="1"/>
  <c r="T157" i="1" s="1"/>
  <c r="W157" i="1" s="1"/>
  <c r="U157" i="1" l="1"/>
  <c r="D157" i="1" l="1"/>
  <c r="C157" i="1"/>
  <c r="F157" i="1" s="1"/>
  <c r="H157" i="1" l="1"/>
  <c r="K158" i="1"/>
  <c r="E157" i="1"/>
  <c r="I157" i="1" s="1"/>
  <c r="L158" i="1" l="1"/>
  <c r="O158" i="1" s="1"/>
  <c r="Q158" i="1"/>
  <c r="M158" i="1"/>
  <c r="N158" i="1" s="1"/>
  <c r="R158" i="1" l="1"/>
  <c r="X158" i="1" s="1"/>
  <c r="S158" i="1"/>
  <c r="T158" i="1" s="1"/>
  <c r="W158" i="1" s="1"/>
  <c r="U158" i="1" l="1"/>
  <c r="D158" i="1" l="1"/>
  <c r="C158" i="1"/>
  <c r="F158" i="1" s="1"/>
  <c r="H158" i="1" l="1"/>
  <c r="K159" i="1"/>
  <c r="E158" i="1"/>
  <c r="I158" i="1" s="1"/>
  <c r="Q159" i="1" l="1"/>
  <c r="L159" i="1"/>
  <c r="O159" i="1" s="1"/>
  <c r="M159" i="1"/>
  <c r="N159" i="1" s="1"/>
  <c r="R159" i="1" l="1"/>
  <c r="X159" i="1" s="1"/>
  <c r="S159" i="1"/>
  <c r="T159" i="1" s="1"/>
  <c r="W159" i="1" s="1"/>
  <c r="U159" i="1" l="1"/>
  <c r="D159" i="1" l="1"/>
  <c r="C159" i="1"/>
  <c r="F159" i="1" s="1"/>
  <c r="H159" i="1" l="1"/>
  <c r="K160" i="1"/>
  <c r="E159" i="1"/>
  <c r="I159" i="1" s="1"/>
  <c r="Q160" i="1" l="1"/>
  <c r="L160" i="1"/>
  <c r="O160" i="1" s="1"/>
  <c r="M160" i="1"/>
  <c r="N160" i="1" s="1"/>
  <c r="R160" i="1" l="1"/>
  <c r="X160" i="1" s="1"/>
  <c r="S160" i="1"/>
  <c r="T160" i="1" s="1"/>
  <c r="W160" i="1" s="1"/>
  <c r="U160" i="1" l="1"/>
  <c r="D160" i="1" l="1"/>
  <c r="C160" i="1"/>
  <c r="F160" i="1" s="1"/>
  <c r="K161" i="1" l="1"/>
  <c r="H160" i="1"/>
  <c r="E160" i="1"/>
  <c r="I160" i="1" s="1"/>
  <c r="Q161" i="1" l="1"/>
  <c r="L161" i="1"/>
  <c r="O161" i="1" s="1"/>
  <c r="M161" i="1"/>
  <c r="N161" i="1" s="1"/>
  <c r="R161" i="1" l="1"/>
  <c r="X161" i="1" s="1"/>
  <c r="S161" i="1"/>
  <c r="T161" i="1" s="1"/>
  <c r="W161" i="1"/>
  <c r="U161" i="1" l="1"/>
  <c r="D161" i="1" l="1"/>
  <c r="C161" i="1"/>
  <c r="F161" i="1" s="1"/>
  <c r="K162" i="1" l="1"/>
  <c r="H161" i="1"/>
  <c r="E161" i="1"/>
  <c r="I161" i="1" s="1"/>
  <c r="Q162" i="1" l="1"/>
  <c r="L162" i="1"/>
  <c r="O162" i="1" s="1"/>
  <c r="M162" i="1"/>
  <c r="N162" i="1" s="1"/>
  <c r="R162" i="1" l="1"/>
  <c r="X162" i="1" s="1"/>
  <c r="S162" i="1"/>
  <c r="T162" i="1" s="1"/>
  <c r="W162" i="1" s="1"/>
  <c r="U162" i="1" l="1"/>
  <c r="C162" i="1" l="1"/>
  <c r="F162" i="1" s="1"/>
  <c r="D162" i="1"/>
  <c r="H162" i="1" l="1"/>
  <c r="K163" i="1"/>
  <c r="E162" i="1"/>
  <c r="I162" i="1" s="1"/>
  <c r="Q163" i="1" l="1"/>
  <c r="L163" i="1"/>
  <c r="O163" i="1" s="1"/>
  <c r="M163" i="1"/>
  <c r="N163" i="1" s="1"/>
  <c r="R163" i="1" l="1"/>
  <c r="X163" i="1" s="1"/>
  <c r="S163" i="1"/>
  <c r="T163" i="1" s="1"/>
  <c r="W163" i="1" s="1"/>
  <c r="U163" i="1" l="1"/>
  <c r="D163" i="1" l="1"/>
  <c r="C163" i="1"/>
  <c r="F163" i="1" s="1"/>
  <c r="H163" i="1" l="1"/>
  <c r="K164" i="1"/>
  <c r="E163" i="1"/>
  <c r="I163" i="1" s="1"/>
  <c r="Q164" i="1" l="1"/>
  <c r="L164" i="1"/>
  <c r="O164" i="1" s="1"/>
  <c r="M164" i="1"/>
  <c r="N164" i="1" s="1"/>
  <c r="R164" i="1" l="1"/>
  <c r="X164" i="1" s="1"/>
  <c r="S164" i="1"/>
  <c r="T164" i="1" s="1"/>
  <c r="W164" i="1" s="1"/>
  <c r="U164" i="1" l="1"/>
  <c r="C164" i="1" l="1"/>
  <c r="F164" i="1" s="1"/>
  <c r="D164" i="1"/>
  <c r="H164" i="1" l="1"/>
  <c r="K165" i="1"/>
  <c r="E164" i="1"/>
  <c r="I164" i="1" s="1"/>
  <c r="Q165" i="1" l="1"/>
  <c r="L165" i="1"/>
  <c r="O165" i="1" s="1"/>
  <c r="M165" i="1"/>
  <c r="N165" i="1" s="1"/>
  <c r="R165" i="1" l="1"/>
  <c r="X165" i="1" s="1"/>
  <c r="S165" i="1"/>
  <c r="T165" i="1" s="1"/>
  <c r="W165" i="1" s="1"/>
  <c r="U165" i="1" l="1"/>
  <c r="D165" i="1" l="1"/>
  <c r="C165" i="1"/>
  <c r="F165" i="1" s="1"/>
  <c r="K166" i="1" l="1"/>
  <c r="H165" i="1"/>
  <c r="E165" i="1"/>
  <c r="I165" i="1" s="1"/>
  <c r="Q166" i="1" l="1"/>
  <c r="L166" i="1"/>
  <c r="O166" i="1" s="1"/>
  <c r="M166" i="1"/>
  <c r="N166" i="1" s="1"/>
  <c r="R166" i="1" l="1"/>
  <c r="X166" i="1" s="1"/>
  <c r="S166" i="1"/>
  <c r="T166" i="1" s="1"/>
  <c r="W166" i="1" s="1"/>
  <c r="U166" i="1" l="1"/>
  <c r="C166" i="1" l="1"/>
  <c r="F166" i="1" s="1"/>
  <c r="D166" i="1"/>
  <c r="K167" i="1" l="1"/>
  <c r="H166" i="1"/>
  <c r="E166" i="1"/>
  <c r="I166" i="1" s="1"/>
  <c r="L167" i="1" l="1"/>
  <c r="O167" i="1" s="1"/>
  <c r="Q167" i="1"/>
  <c r="M167" i="1"/>
  <c r="N167" i="1" s="1"/>
  <c r="R167" i="1" l="1"/>
  <c r="X167" i="1" s="1"/>
  <c r="S167" i="1"/>
  <c r="T167" i="1" s="1"/>
  <c r="W167" i="1" s="1"/>
  <c r="U167" i="1" l="1"/>
  <c r="C167" i="1" l="1"/>
  <c r="F167" i="1" s="1"/>
  <c r="D167" i="1"/>
  <c r="H167" i="1" l="1"/>
  <c r="K168" i="1"/>
  <c r="E167" i="1"/>
  <c r="I167" i="1" s="1"/>
  <c r="Q168" i="1" l="1"/>
  <c r="L168" i="1"/>
  <c r="O168" i="1" s="1"/>
  <c r="M168" i="1"/>
  <c r="N168" i="1" s="1"/>
  <c r="R168" i="1" l="1"/>
  <c r="X168" i="1" s="1"/>
  <c r="S168" i="1"/>
  <c r="T168" i="1" s="1"/>
  <c r="W168" i="1" s="1"/>
  <c r="U168" i="1" l="1"/>
  <c r="C168" i="1" l="1"/>
  <c r="F168" i="1" s="1"/>
  <c r="D168" i="1"/>
  <c r="K169" i="1" l="1"/>
  <c r="H168" i="1"/>
  <c r="E168" i="1"/>
  <c r="I168" i="1" s="1"/>
  <c r="L169" i="1" l="1"/>
  <c r="O169" i="1" s="1"/>
  <c r="Q169" i="1"/>
  <c r="M169" i="1"/>
  <c r="N169" i="1" s="1"/>
  <c r="R169" i="1" l="1"/>
  <c r="X169" i="1" s="1"/>
  <c r="S169" i="1"/>
  <c r="T169" i="1" s="1"/>
  <c r="W169" i="1" s="1"/>
  <c r="U169" i="1" l="1"/>
  <c r="C169" i="1" l="1"/>
  <c r="F169" i="1" s="1"/>
  <c r="D169" i="1"/>
  <c r="K170" i="1" l="1"/>
  <c r="H169" i="1"/>
  <c r="E169" i="1"/>
  <c r="I169" i="1" s="1"/>
  <c r="L170" i="1" l="1"/>
  <c r="O170" i="1" s="1"/>
  <c r="Q170" i="1"/>
  <c r="M170" i="1"/>
  <c r="N170" i="1" s="1"/>
  <c r="R170" i="1" l="1"/>
  <c r="X170" i="1" s="1"/>
  <c r="S170" i="1"/>
  <c r="T170" i="1" s="1"/>
  <c r="W170" i="1" s="1"/>
  <c r="U170" i="1" l="1"/>
  <c r="C170" i="1" l="1"/>
  <c r="F170" i="1" s="1"/>
  <c r="D170" i="1"/>
  <c r="H170" i="1" l="1"/>
  <c r="K171" i="1"/>
  <c r="E170" i="1"/>
  <c r="I170" i="1" s="1"/>
  <c r="L171" i="1" l="1"/>
  <c r="O171" i="1" s="1"/>
  <c r="Q171" i="1"/>
  <c r="M171" i="1"/>
  <c r="N171" i="1" s="1"/>
  <c r="R171" i="1" l="1"/>
  <c r="X171" i="1" s="1"/>
  <c r="S171" i="1"/>
  <c r="T171" i="1" s="1"/>
  <c r="W171" i="1" s="1"/>
  <c r="U171" i="1" l="1"/>
  <c r="C171" i="1" l="1"/>
  <c r="F171" i="1" s="1"/>
  <c r="D171" i="1"/>
  <c r="K172" i="1" l="1"/>
  <c r="H171" i="1"/>
  <c r="E171" i="1"/>
  <c r="I171" i="1" s="1"/>
  <c r="L172" i="1" l="1"/>
  <c r="O172" i="1" s="1"/>
  <c r="Q172" i="1"/>
  <c r="M172" i="1"/>
  <c r="N172" i="1" s="1"/>
  <c r="R172" i="1" l="1"/>
  <c r="X172" i="1" s="1"/>
  <c r="S172" i="1"/>
  <c r="T172" i="1" s="1"/>
  <c r="W172" i="1" s="1"/>
  <c r="U172" i="1" l="1"/>
  <c r="D172" i="1" l="1"/>
  <c r="C172" i="1"/>
  <c r="F172" i="1" s="1"/>
  <c r="K173" i="1" l="1"/>
  <c r="H172" i="1"/>
  <c r="E172" i="1"/>
  <c r="I172" i="1" s="1"/>
  <c r="L173" i="1" l="1"/>
  <c r="O173" i="1" s="1"/>
  <c r="Q173" i="1"/>
  <c r="M173" i="1"/>
  <c r="N173" i="1" s="1"/>
  <c r="R173" i="1" l="1"/>
  <c r="X173" i="1" s="1"/>
  <c r="S173" i="1"/>
  <c r="T173" i="1" s="1"/>
  <c r="W173" i="1" s="1"/>
  <c r="U173" i="1" l="1"/>
  <c r="D173" i="1" l="1"/>
  <c r="C173" i="1"/>
  <c r="F173" i="1" s="1"/>
  <c r="K174" i="1" l="1"/>
  <c r="H173" i="1"/>
  <c r="E173" i="1"/>
  <c r="I173" i="1" s="1"/>
  <c r="Q174" i="1" l="1"/>
  <c r="L174" i="1"/>
  <c r="O174" i="1" s="1"/>
  <c r="M174" i="1"/>
  <c r="N174" i="1" s="1"/>
  <c r="R174" i="1" l="1"/>
  <c r="X174" i="1" s="1"/>
  <c r="S174" i="1"/>
  <c r="T174" i="1" s="1"/>
  <c r="W174" i="1" s="1"/>
  <c r="U174" i="1" l="1"/>
  <c r="D174" i="1" l="1"/>
  <c r="C174" i="1"/>
  <c r="F174" i="1" s="1"/>
  <c r="H174" i="1" l="1"/>
  <c r="K175" i="1"/>
  <c r="E174" i="1"/>
  <c r="I174" i="1" s="1"/>
  <c r="Q175" i="1" l="1"/>
  <c r="L175" i="1"/>
  <c r="O175" i="1" s="1"/>
  <c r="M175" i="1"/>
  <c r="N175" i="1" s="1"/>
  <c r="R175" i="1" l="1"/>
  <c r="X175" i="1" s="1"/>
  <c r="S175" i="1"/>
  <c r="T175" i="1" s="1"/>
  <c r="W175" i="1" s="1"/>
  <c r="U175" i="1" l="1"/>
  <c r="D175" i="1" l="1"/>
  <c r="C175" i="1"/>
  <c r="F175" i="1" s="1"/>
  <c r="H175" i="1" l="1"/>
  <c r="K176" i="1"/>
  <c r="E175" i="1"/>
  <c r="I175" i="1" s="1"/>
  <c r="Q176" i="1" l="1"/>
  <c r="L176" i="1"/>
  <c r="O176" i="1" s="1"/>
  <c r="M176" i="1"/>
  <c r="N176" i="1" s="1"/>
  <c r="R176" i="1" l="1"/>
  <c r="X176" i="1" s="1"/>
  <c r="S176" i="1"/>
  <c r="T176" i="1" s="1"/>
  <c r="W176" i="1" s="1"/>
  <c r="U176" i="1" l="1"/>
  <c r="C176" i="1" l="1"/>
  <c r="F176" i="1" s="1"/>
  <c r="D176" i="1"/>
  <c r="H176" i="1" l="1"/>
  <c r="K177" i="1"/>
  <c r="E176" i="1"/>
  <c r="I176" i="1" s="1"/>
  <c r="Q177" i="1" l="1"/>
  <c r="L177" i="1"/>
  <c r="O177" i="1" s="1"/>
  <c r="M177" i="1"/>
  <c r="N177" i="1" s="1"/>
  <c r="R177" i="1" l="1"/>
  <c r="X177" i="1" s="1"/>
  <c r="S177" i="1"/>
  <c r="T177" i="1" s="1"/>
  <c r="W177" i="1" s="1"/>
  <c r="U177" i="1" l="1"/>
  <c r="C177" i="1" l="1"/>
  <c r="F177" i="1" s="1"/>
  <c r="D177" i="1"/>
  <c r="H177" i="1" l="1"/>
  <c r="K178" i="1"/>
  <c r="E177" i="1"/>
  <c r="I177" i="1" s="1"/>
  <c r="Q178" i="1" l="1"/>
  <c r="L178" i="1"/>
  <c r="O178" i="1" s="1"/>
  <c r="M178" i="1"/>
  <c r="N178" i="1" s="1"/>
  <c r="R178" i="1" l="1"/>
  <c r="X178" i="1" s="1"/>
  <c r="S178" i="1"/>
  <c r="T178" i="1" s="1"/>
  <c r="W178" i="1" s="1"/>
  <c r="U178" i="1" l="1"/>
  <c r="C178" i="1" l="1"/>
  <c r="F178" i="1" s="1"/>
  <c r="D178" i="1"/>
  <c r="H178" i="1" l="1"/>
  <c r="K179" i="1"/>
  <c r="E178" i="1"/>
  <c r="I178" i="1" s="1"/>
  <c r="L179" i="1" l="1"/>
  <c r="O179" i="1" s="1"/>
  <c r="Q179" i="1"/>
  <c r="M179" i="1"/>
  <c r="N179" i="1" s="1"/>
  <c r="R179" i="1" l="1"/>
  <c r="X179" i="1" s="1"/>
  <c r="S179" i="1"/>
  <c r="T179" i="1" s="1"/>
  <c r="W179" i="1"/>
  <c r="U179" i="1" l="1"/>
  <c r="C179" i="1" l="1"/>
  <c r="F179" i="1" s="1"/>
  <c r="D179" i="1"/>
  <c r="H179" i="1" l="1"/>
  <c r="K180" i="1"/>
  <c r="E179" i="1"/>
  <c r="I179" i="1" s="1"/>
  <c r="Q180" i="1" l="1"/>
  <c r="L180" i="1"/>
  <c r="O180" i="1" s="1"/>
  <c r="M180" i="1"/>
  <c r="N180" i="1" s="1"/>
  <c r="R180" i="1" l="1"/>
  <c r="X180" i="1" s="1"/>
  <c r="S180" i="1"/>
  <c r="T180" i="1" s="1"/>
  <c r="W180" i="1" s="1"/>
  <c r="U180" i="1" l="1"/>
  <c r="C180" i="1" l="1"/>
  <c r="F180" i="1" s="1"/>
  <c r="D180" i="1"/>
  <c r="H180" i="1" l="1"/>
  <c r="K181" i="1"/>
  <c r="E180" i="1"/>
  <c r="I180" i="1" s="1"/>
  <c r="Q181" i="1" l="1"/>
  <c r="L181" i="1"/>
  <c r="O181" i="1" s="1"/>
  <c r="M181" i="1"/>
  <c r="N181" i="1" s="1"/>
  <c r="R181" i="1" l="1"/>
  <c r="X181" i="1" s="1"/>
  <c r="S181" i="1"/>
  <c r="T181" i="1" s="1"/>
  <c r="W181" i="1" s="1"/>
  <c r="U181" i="1" l="1"/>
  <c r="D181" i="1" l="1"/>
  <c r="C181" i="1"/>
  <c r="F181" i="1" s="1"/>
  <c r="H181" i="1" l="1"/>
  <c r="K182" i="1"/>
  <c r="E181" i="1"/>
  <c r="I181" i="1" s="1"/>
  <c r="L182" i="1" l="1"/>
  <c r="O182" i="1" s="1"/>
  <c r="Q182" i="1"/>
  <c r="M182" i="1"/>
  <c r="N182" i="1" s="1"/>
  <c r="R182" i="1" l="1"/>
  <c r="X182" i="1" s="1"/>
  <c r="S182" i="1"/>
  <c r="T182" i="1" s="1"/>
  <c r="W182" i="1" s="1"/>
  <c r="U182" i="1" l="1"/>
  <c r="C182" i="1" l="1"/>
  <c r="F182" i="1" s="1"/>
  <c r="D182" i="1"/>
  <c r="K183" i="1" l="1"/>
  <c r="H182" i="1"/>
  <c r="E182" i="1"/>
  <c r="I182" i="1" s="1"/>
  <c r="Q183" i="1" l="1"/>
  <c r="L183" i="1"/>
  <c r="O183" i="1" s="1"/>
  <c r="M183" i="1"/>
  <c r="N183" i="1" s="1"/>
  <c r="R183" i="1" l="1"/>
  <c r="X183" i="1" s="1"/>
  <c r="S183" i="1"/>
  <c r="T183" i="1" s="1"/>
  <c r="W183" i="1" s="1"/>
  <c r="U183" i="1" l="1"/>
  <c r="C183" i="1" l="1"/>
  <c r="F183" i="1" s="1"/>
  <c r="D183" i="1"/>
  <c r="K184" i="1" l="1"/>
  <c r="H183" i="1"/>
  <c r="E183" i="1"/>
  <c r="I183" i="1" s="1"/>
  <c r="L184" i="1" l="1"/>
  <c r="O184" i="1" s="1"/>
  <c r="Q184" i="1"/>
  <c r="M184" i="1"/>
  <c r="N184" i="1" s="1"/>
  <c r="R184" i="1" l="1"/>
  <c r="X184" i="1" s="1"/>
  <c r="S184" i="1"/>
  <c r="T184" i="1" s="1"/>
  <c r="W184" i="1" s="1"/>
  <c r="U184" i="1" l="1"/>
  <c r="D184" i="1" l="1"/>
  <c r="C184" i="1"/>
  <c r="F184" i="1" s="1"/>
  <c r="K185" i="1" l="1"/>
  <c r="H184" i="1"/>
  <c r="E184" i="1"/>
  <c r="I184" i="1" s="1"/>
  <c r="L185" i="1" l="1"/>
  <c r="O185" i="1" s="1"/>
  <c r="Q185" i="1"/>
  <c r="M185" i="1"/>
  <c r="N185" i="1" s="1"/>
  <c r="R185" i="1" l="1"/>
  <c r="X185" i="1" s="1"/>
  <c r="S185" i="1"/>
  <c r="T185" i="1" s="1"/>
  <c r="W185" i="1" s="1"/>
  <c r="U185" i="1" l="1"/>
  <c r="D185" i="1" l="1"/>
  <c r="C185" i="1"/>
  <c r="F185" i="1" s="1"/>
  <c r="K186" i="1" l="1"/>
  <c r="H185" i="1"/>
  <c r="E185" i="1"/>
  <c r="I185" i="1" s="1"/>
  <c r="Q186" i="1" l="1"/>
  <c r="L186" i="1"/>
  <c r="O186" i="1" s="1"/>
  <c r="M186" i="1"/>
  <c r="N186" i="1" s="1"/>
  <c r="R186" i="1" l="1"/>
  <c r="X186" i="1" s="1"/>
  <c r="S186" i="1"/>
  <c r="T186" i="1" s="1"/>
  <c r="W186" i="1" s="1"/>
  <c r="U186" i="1" l="1"/>
  <c r="D186" i="1" l="1"/>
  <c r="C186" i="1"/>
  <c r="F186" i="1" s="1"/>
  <c r="H186" i="1" l="1"/>
  <c r="K187" i="1"/>
  <c r="E186" i="1"/>
  <c r="I186" i="1" s="1"/>
  <c r="Q187" i="1" l="1"/>
  <c r="L187" i="1"/>
  <c r="O187" i="1" s="1"/>
  <c r="M187" i="1"/>
  <c r="N187" i="1" s="1"/>
  <c r="R187" i="1" l="1"/>
  <c r="X187" i="1" s="1"/>
  <c r="S187" i="1"/>
  <c r="T187" i="1" s="1"/>
  <c r="W187" i="1" s="1"/>
  <c r="U187" i="1" l="1"/>
  <c r="C187" i="1" l="1"/>
  <c r="F187" i="1" s="1"/>
  <c r="D187" i="1"/>
  <c r="H187" i="1" l="1"/>
  <c r="K188" i="1"/>
  <c r="E187" i="1"/>
  <c r="I187" i="1" s="1"/>
  <c r="Q188" i="1" l="1"/>
  <c r="L188" i="1"/>
  <c r="O188" i="1" s="1"/>
  <c r="M188" i="1"/>
  <c r="N188" i="1" s="1"/>
  <c r="R188" i="1" l="1"/>
  <c r="X188" i="1" s="1"/>
  <c r="S188" i="1"/>
  <c r="T188" i="1" s="1"/>
  <c r="W188" i="1" s="1"/>
  <c r="U188" i="1" l="1"/>
  <c r="D188" i="1" l="1"/>
  <c r="C188" i="1"/>
  <c r="F188" i="1" s="1"/>
  <c r="H188" i="1" l="1"/>
  <c r="K189" i="1"/>
  <c r="E188" i="1"/>
  <c r="I188" i="1" s="1"/>
  <c r="Q189" i="1" l="1"/>
  <c r="L189" i="1"/>
  <c r="O189" i="1" s="1"/>
  <c r="M189" i="1"/>
  <c r="N189" i="1" s="1"/>
  <c r="R189" i="1" l="1"/>
  <c r="X189" i="1" s="1"/>
  <c r="S189" i="1"/>
  <c r="T189" i="1" s="1"/>
  <c r="W189" i="1" s="1"/>
  <c r="U189" i="1" l="1"/>
  <c r="D189" i="1" l="1"/>
  <c r="C189" i="1"/>
  <c r="F189" i="1" s="1"/>
  <c r="K190" i="1" l="1"/>
  <c r="H189" i="1"/>
  <c r="E189" i="1"/>
  <c r="I189" i="1" s="1"/>
  <c r="Q190" i="1" l="1"/>
  <c r="L190" i="1"/>
  <c r="M190" i="1"/>
  <c r="N190" i="1" s="1"/>
  <c r="O190" i="1" l="1"/>
  <c r="R190" i="1"/>
  <c r="X190" i="1" s="1"/>
  <c r="S190" i="1"/>
  <c r="T190" i="1" s="1"/>
  <c r="W190" i="1" s="1"/>
  <c r="U190" i="1" l="1"/>
  <c r="D190" i="1"/>
  <c r="C190" i="1"/>
  <c r="F190" i="1" s="1"/>
  <c r="K191" i="1" l="1"/>
  <c r="H190" i="1"/>
  <c r="E190" i="1"/>
  <c r="I190" i="1" s="1"/>
  <c r="L191" i="1" l="1"/>
  <c r="Q191" i="1"/>
  <c r="M191" i="1"/>
  <c r="N191" i="1" s="1"/>
  <c r="O191" i="1" l="1"/>
  <c r="R191" i="1"/>
  <c r="X191" i="1" s="1"/>
  <c r="S191" i="1"/>
  <c r="T191" i="1" s="1"/>
  <c r="W191" i="1" s="1"/>
  <c r="U191" i="1" l="1"/>
  <c r="C191" i="1"/>
  <c r="F191" i="1" s="1"/>
  <c r="D191" i="1"/>
  <c r="H191" i="1" l="1"/>
  <c r="K192" i="1"/>
  <c r="E191" i="1"/>
  <c r="I191" i="1" s="1"/>
  <c r="Q192" i="1" l="1"/>
  <c r="L192" i="1"/>
  <c r="O192" i="1" s="1"/>
  <c r="M192" i="1"/>
  <c r="N192" i="1" s="1"/>
  <c r="R192" i="1" l="1"/>
  <c r="X192" i="1" s="1"/>
  <c r="S192" i="1"/>
  <c r="T192" i="1" s="1"/>
  <c r="W192" i="1" s="1"/>
  <c r="U192" i="1" l="1"/>
  <c r="C192" i="1" l="1"/>
  <c r="F192" i="1" s="1"/>
  <c r="D192" i="1"/>
  <c r="K193" i="1" l="1"/>
  <c r="H192" i="1"/>
  <c r="E192" i="1"/>
  <c r="I192" i="1" s="1"/>
  <c r="Q193" i="1" l="1"/>
  <c r="L193" i="1"/>
  <c r="O193" i="1" s="1"/>
  <c r="M193" i="1"/>
  <c r="N193" i="1" s="1"/>
  <c r="R193" i="1" l="1"/>
  <c r="X193" i="1" s="1"/>
  <c r="S193" i="1"/>
  <c r="T193" i="1" s="1"/>
  <c r="W193" i="1" s="1"/>
  <c r="U193" i="1" l="1"/>
  <c r="C193" i="1" l="1"/>
  <c r="F193" i="1" s="1"/>
  <c r="D193" i="1"/>
  <c r="H193" i="1" l="1"/>
  <c r="E193" i="1"/>
  <c r="I193" i="1" s="1"/>
  <c r="AA10" i="1"/>
  <c r="AA17" i="1"/>
  <c r="AA14" i="1"/>
  <c r="AA16" i="1"/>
  <c r="AA18" i="1"/>
  <c r="AA12" i="1"/>
  <c r="AA11" i="1"/>
  <c r="AA13" i="1"/>
  <c r="AA9" i="1"/>
  <c r="AA8" i="1"/>
  <c r="AA15" i="1"/>
  <c r="AJ2" i="1" l="1"/>
  <c r="AK2" i="1" s="1"/>
  <c r="AL2" i="1" s="1"/>
  <c r="AM2" i="1" s="1"/>
  <c r="AE3" i="1" s="1"/>
  <c r="AH3" i="1" s="1"/>
  <c r="AH4" i="1" l="1"/>
  <c r="AO3" i="1"/>
  <c r="AP3" i="1" s="1"/>
  <c r="AQ3" i="1" s="1"/>
  <c r="AR3" i="1" s="1"/>
  <c r="AE4" i="1" s="1"/>
  <c r="AG4" i="1" s="1"/>
  <c r="AG5" i="1" l="1"/>
  <c r="AJ4" i="1"/>
  <c r="AK4" i="1" s="1"/>
  <c r="AL4" i="1" s="1"/>
  <c r="AM4" i="1"/>
  <c r="AE5" i="1" s="1"/>
  <c r="AH5" i="1" s="1"/>
  <c r="AO5" i="1" l="1"/>
  <c r="AP5" i="1" s="1"/>
  <c r="AQ5" i="1" s="1"/>
  <c r="AR5" i="1" s="1"/>
  <c r="AE6" i="1" s="1"/>
  <c r="AH6" i="1"/>
  <c r="AG6" i="1" l="1"/>
  <c r="AG7" i="1" l="1"/>
  <c r="AJ6" i="1"/>
  <c r="AK6" i="1" s="1"/>
  <c r="AL6" i="1" s="1"/>
  <c r="AM6" i="1" s="1"/>
  <c r="AE7" i="1" s="1"/>
  <c r="AH7" i="1" s="1"/>
  <c r="AH8" i="1" l="1"/>
  <c r="AO7" i="1"/>
  <c r="AP7" i="1" s="1"/>
  <c r="AQ7" i="1" s="1"/>
  <c r="AR7" i="1" s="1"/>
  <c r="AE8" i="1" s="1"/>
  <c r="AG8" i="1" s="1"/>
  <c r="AG9" i="1" l="1"/>
  <c r="AJ8" i="1"/>
  <c r="AK8" i="1" s="1"/>
  <c r="AL8" i="1" s="1"/>
  <c r="AM8" i="1" s="1"/>
  <c r="AE9" i="1" s="1"/>
  <c r="AH9" i="1" s="1"/>
  <c r="AO9" i="1" l="1"/>
  <c r="AP9" i="1" s="1"/>
  <c r="AQ9" i="1" s="1"/>
  <c r="AR9" i="1" s="1"/>
  <c r="AE10" i="1" s="1"/>
  <c r="AG10" i="1" s="1"/>
  <c r="AH10" i="1"/>
  <c r="AJ10" i="1" l="1"/>
  <c r="AK10" i="1" s="1"/>
  <c r="AL10" i="1" s="1"/>
  <c r="AM10" i="1" s="1"/>
  <c r="AE11" i="1" s="1"/>
  <c r="AH11" i="1" s="1"/>
  <c r="AG11" i="1"/>
  <c r="AH12" i="1" l="1"/>
  <c r="AO11" i="1"/>
  <c r="AP11" i="1" s="1"/>
  <c r="AQ11" i="1" s="1"/>
  <c r="AR11" i="1" s="1"/>
  <c r="AE12" i="1" s="1"/>
  <c r="AG12" i="1" s="1"/>
  <c r="AM12" i="1" l="1"/>
  <c r="AE13" i="1" s="1"/>
  <c r="AH13" i="1" s="1"/>
  <c r="AO13" i="1" s="1"/>
  <c r="AP13" i="1" s="1"/>
  <c r="AQ13" i="1" s="1"/>
  <c r="AR13" i="1" s="1"/>
  <c r="AG13" i="1"/>
  <c r="AJ12" i="1"/>
  <c r="AK12" i="1" s="1"/>
  <c r="AL12" i="1" s="1"/>
</calcChain>
</file>

<file path=xl/sharedStrings.xml><?xml version="1.0" encoding="utf-8"?>
<sst xmlns="http://schemas.openxmlformats.org/spreadsheetml/2006/main" count="192" uniqueCount="28">
  <si>
    <t>n</t>
  </si>
  <si>
    <t>c</t>
  </si>
  <si>
    <t>x</t>
  </si>
  <si>
    <t>y</t>
  </si>
  <si>
    <t>dc</t>
  </si>
  <si>
    <t>dc(x+1)</t>
  </si>
  <si>
    <t>dc(y)</t>
  </si>
  <si>
    <t>xp</t>
  </si>
  <si>
    <t>c(xp)</t>
  </si>
  <si>
    <t>c(y)</t>
  </si>
  <si>
    <t>c(n,xp)</t>
  </si>
  <si>
    <t>xp+1</t>
  </si>
  <si>
    <t>c(xp+1)</t>
  </si>
  <si>
    <t>c(n,xp+1)</t>
  </si>
  <si>
    <t>Left</t>
  </si>
  <si>
    <t>Right</t>
  </si>
  <si>
    <t>const</t>
  </si>
  <si>
    <t>yp</t>
  </si>
  <si>
    <t>dc(xp+1)</t>
  </si>
  <si>
    <t>dc(n-xp)</t>
  </si>
  <si>
    <t>n-xp</t>
  </si>
  <si>
    <t>dc(yp)</t>
  </si>
  <si>
    <t>dc(n-yp+1)</t>
  </si>
  <si>
    <t>n-yp+1</t>
  </si>
  <si>
    <t>n2</t>
  </si>
  <si>
    <t>target</t>
  </si>
  <si>
    <t>cost</t>
  </si>
  <si>
    <t>cost formatted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</si>
</sst>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2" fillId="0" borderId="0" xfId="1" applyNumberFormat="1" applyFont="1"/>
    <xf numFmtId="0" fontId="2" fillId="0" borderId="0" xfId="0" applyFont="1"/>
    <xf numFmtId="0" fontId="0" fillId="4" borderId="0" xfId="0" applyFill="1"/>
    <xf numFmtId="1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03C4-710F-4E38-9192-430D32C4B6A6}">
  <dimension ref="B1:AZ193"/>
  <sheetViews>
    <sheetView tabSelected="1" workbookViewId="0">
      <pane ySplit="1" topLeftCell="A2" activePane="bottomLeft" state="frozen"/>
      <selection pane="bottomLeft" activeCell="M17" sqref="M17"/>
    </sheetView>
  </sheetViews>
  <sheetFormatPr defaultRowHeight="15" x14ac:dyDescent="0.25"/>
  <cols>
    <col min="7" max="7" width="3.7109375" customWidth="1"/>
    <col min="8" max="9" width="8.5703125" customWidth="1"/>
    <col min="10" max="10" width="3.7109375" customWidth="1"/>
    <col min="16" max="16" width="3.7109375" customWidth="1"/>
    <col min="22" max="22" width="4.28515625" customWidth="1"/>
    <col min="31" max="31" width="14.28515625" style="1" bestFit="1" customWidth="1"/>
    <col min="35" max="35" width="4.5703125" customWidth="1"/>
    <col min="36" max="39" width="9.5703125" customWidth="1"/>
    <col min="40" max="40" width="4" customWidth="1"/>
    <col min="41" max="46" width="9.5703125" customWidth="1"/>
    <col min="48" max="48" width="18" style="1" customWidth="1"/>
    <col min="50" max="50" width="18.28515625" customWidth="1"/>
    <col min="51" max="51" width="17.28515625" customWidth="1"/>
    <col min="52" max="52" width="20" customWidth="1"/>
  </cols>
  <sheetData>
    <row r="1" spans="2:4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K1" t="s">
        <v>7</v>
      </c>
      <c r="L1" t="s">
        <v>8</v>
      </c>
      <c r="M1" t="s">
        <v>3</v>
      </c>
      <c r="N1" t="s">
        <v>9</v>
      </c>
      <c r="O1" t="s">
        <v>10</v>
      </c>
      <c r="Q1" t="s">
        <v>11</v>
      </c>
      <c r="R1" t="s">
        <v>12</v>
      </c>
      <c r="S1" t="s">
        <v>3</v>
      </c>
      <c r="T1" t="s">
        <v>9</v>
      </c>
      <c r="U1" t="s">
        <v>13</v>
      </c>
      <c r="W1" t="s">
        <v>14</v>
      </c>
      <c r="X1" t="s">
        <v>15</v>
      </c>
      <c r="AA1" t="s">
        <v>0</v>
      </c>
      <c r="AB1" t="s">
        <v>4</v>
      </c>
      <c r="AE1" s="1" t="s">
        <v>0</v>
      </c>
      <c r="AF1" t="s">
        <v>16</v>
      </c>
      <c r="AG1" t="s">
        <v>7</v>
      </c>
      <c r="AH1" t="s">
        <v>17</v>
      </c>
      <c r="AJ1" t="s">
        <v>18</v>
      </c>
      <c r="AK1" t="s">
        <v>19</v>
      </c>
      <c r="AL1" t="s">
        <v>20</v>
      </c>
      <c r="AM1" t="s">
        <v>0</v>
      </c>
      <c r="AO1" t="s">
        <v>21</v>
      </c>
      <c r="AP1" t="s">
        <v>22</v>
      </c>
      <c r="AQ1" t="s">
        <v>23</v>
      </c>
      <c r="AR1" t="s">
        <v>0</v>
      </c>
      <c r="AT1" t="s">
        <v>4</v>
      </c>
    </row>
    <row r="2" spans="2:46" x14ac:dyDescent="0.25">
      <c r="B2">
        <v>0</v>
      </c>
      <c r="AA2">
        <v>1</v>
      </c>
      <c r="AB2">
        <v>0</v>
      </c>
      <c r="AE2" s="1">
        <v>53</v>
      </c>
      <c r="AF2" t="s">
        <v>2</v>
      </c>
      <c r="AG2">
        <v>36</v>
      </c>
      <c r="AJ2">
        <f>INDEX($AB$1:$AB$35,MATCH(AG2+1,$AA$1:$AA$35,1))</f>
        <v>15</v>
      </c>
      <c r="AK2">
        <f>AJ2-2</f>
        <v>13</v>
      </c>
      <c r="AL2">
        <f>INDEX($AA$1:$AA$35,MATCH(AK2,$AB$1:$AB$35,1))</f>
        <v>20</v>
      </c>
      <c r="AM2">
        <f>AG2+AL2</f>
        <v>56</v>
      </c>
      <c r="AT2">
        <v>16</v>
      </c>
    </row>
    <row r="3" spans="2:46" x14ac:dyDescent="0.25">
      <c r="B3">
        <f>B2+1</f>
        <v>1</v>
      </c>
      <c r="C3">
        <v>0</v>
      </c>
      <c r="F3">
        <f>C3-C2</f>
        <v>0</v>
      </c>
      <c r="AA3">
        <v>2</v>
      </c>
      <c r="AB3">
        <v>5</v>
      </c>
      <c r="AE3" s="1">
        <f>AM2</f>
        <v>56</v>
      </c>
      <c r="AF3" t="s">
        <v>3</v>
      </c>
      <c r="AG3">
        <f>AG2+1</f>
        <v>37</v>
      </c>
      <c r="AH3">
        <f>AE3-AG3</f>
        <v>19</v>
      </c>
      <c r="AO3">
        <f>INDEX($AB$1:$AB$35,MATCH(AH3+1,$AA$1:$AA$35,1))</f>
        <v>13</v>
      </c>
      <c r="AP3">
        <f>AO3+3</f>
        <v>16</v>
      </c>
      <c r="AQ3">
        <f>INDEX($AA$1:$AA$35,MATCH(AP3,$AB$1:$AB$35,1))</f>
        <v>51</v>
      </c>
      <c r="AR3">
        <f>AQ3+AH3</f>
        <v>70</v>
      </c>
      <c r="AT3">
        <f>AT2</f>
        <v>16</v>
      </c>
    </row>
    <row r="4" spans="2:46" x14ac:dyDescent="0.25">
      <c r="B4">
        <f t="shared" ref="B4:B67" si="0">B3+1</f>
        <v>2</v>
      </c>
      <c r="C4">
        <v>5</v>
      </c>
      <c r="D4">
        <v>1</v>
      </c>
      <c r="E4">
        <f>B4-D4</f>
        <v>1</v>
      </c>
      <c r="F4">
        <f>C4-C3</f>
        <v>5</v>
      </c>
      <c r="H4">
        <f>VLOOKUP(D4+1,nc,5,TRUE)</f>
        <v>5</v>
      </c>
      <c r="I4">
        <f>VLOOKUP(E4,nc,5,TRUE)</f>
        <v>0</v>
      </c>
      <c r="AA4">
        <f>INDEX($B$2:$B$193,MATCH(AB4,$F$2:$F$193,0))</f>
        <v>3</v>
      </c>
      <c r="AB4">
        <v>6</v>
      </c>
      <c r="AE4" s="1">
        <f>AR3</f>
        <v>70</v>
      </c>
      <c r="AF4" t="s">
        <v>2</v>
      </c>
      <c r="AG4">
        <f>AE4-AH4</f>
        <v>50</v>
      </c>
      <c r="AH4">
        <f>AH3+1</f>
        <v>20</v>
      </c>
      <c r="AJ4">
        <f>INDEX($AB$1:$AB$35,MATCH(AG4+1,$AA$1:$AA$35,1))</f>
        <v>16</v>
      </c>
      <c r="AK4">
        <f>AJ4-2</f>
        <v>14</v>
      </c>
      <c r="AL4">
        <f>INDEX($AA$1:$AA$35,MATCH(AK4,$AB$1:$AB$35,1))</f>
        <v>27</v>
      </c>
      <c r="AM4">
        <f>AG4+AL4</f>
        <v>77</v>
      </c>
      <c r="AT4">
        <f>AT3+1</f>
        <v>17</v>
      </c>
    </row>
    <row r="5" spans="2:46" x14ac:dyDescent="0.25">
      <c r="B5">
        <f t="shared" si="0"/>
        <v>3</v>
      </c>
      <c r="C5">
        <f>MIN(O5,U5)</f>
        <v>11</v>
      </c>
      <c r="D5">
        <f>IF(O5&lt;=U5,K5,Q5)</f>
        <v>2</v>
      </c>
      <c r="E5">
        <f t="shared" ref="E5:E68" si="1">B5-D5</f>
        <v>1</v>
      </c>
      <c r="F5">
        <f t="shared" ref="F5:F68" si="2">C5-C4</f>
        <v>6</v>
      </c>
      <c r="H5">
        <f>VLOOKUP(D5+1,nc,5,TRUE)</f>
        <v>6</v>
      </c>
      <c r="I5">
        <f>VLOOKUP(E5,nc,5,TRUE)</f>
        <v>0</v>
      </c>
      <c r="K5">
        <f>D4</f>
        <v>1</v>
      </c>
      <c r="L5">
        <f>VLOOKUP(K5,nc,2,FALSE)</f>
        <v>0</v>
      </c>
      <c r="M5">
        <f>B5-K5</f>
        <v>2</v>
      </c>
      <c r="N5">
        <f>VLOOKUP(M5,nc,2,FALSE)</f>
        <v>5</v>
      </c>
      <c r="O5">
        <f>K5+L5+4*M5+N5</f>
        <v>14</v>
      </c>
      <c r="Q5">
        <f>K5+1</f>
        <v>2</v>
      </c>
      <c r="R5">
        <f>VLOOKUP(Q5,nc,2,FALSE)</f>
        <v>5</v>
      </c>
      <c r="S5">
        <f>B5-Q5</f>
        <v>1</v>
      </c>
      <c r="T5">
        <f>VLOOKUP(S5,nc,2,FALSE)</f>
        <v>0</v>
      </c>
      <c r="U5">
        <f>Q5+R5+4*S5+T5</f>
        <v>11</v>
      </c>
      <c r="W5">
        <f>N5-T5</f>
        <v>5</v>
      </c>
      <c r="X5">
        <f>R5-L5-3</f>
        <v>2</v>
      </c>
      <c r="AA5">
        <f t="shared" ref="AA5:AA18" si="3">INDEX($B$2:$B$193,MATCH(AB5,$F$2:$F$193,0))</f>
        <v>4</v>
      </c>
      <c r="AB5">
        <v>7</v>
      </c>
      <c r="AE5" s="1">
        <f>AM4</f>
        <v>77</v>
      </c>
      <c r="AF5" t="s">
        <v>3</v>
      </c>
      <c r="AG5">
        <f>AG4+1</f>
        <v>51</v>
      </c>
      <c r="AH5">
        <f>AE5-AG5</f>
        <v>26</v>
      </c>
      <c r="AO5">
        <f>INDEX($AB$1:$AB$35,MATCH(AH5+1,$AA$1:$AA$35,1))</f>
        <v>14</v>
      </c>
      <c r="AP5">
        <f>AO5+3</f>
        <v>17</v>
      </c>
      <c r="AQ5">
        <f>INDEX($AA$1:$AA$35,MATCH(AP5,$AB$1:$AB$35,1))</f>
        <v>70</v>
      </c>
      <c r="AR5">
        <f>AQ5+AH5</f>
        <v>96</v>
      </c>
      <c r="AT5">
        <f>AT4</f>
        <v>17</v>
      </c>
    </row>
    <row r="6" spans="2:46" x14ac:dyDescent="0.25">
      <c r="B6">
        <f t="shared" si="0"/>
        <v>4</v>
      </c>
      <c r="C6">
        <f t="shared" ref="C6:C69" si="4">MIN(O6,U6)</f>
        <v>18</v>
      </c>
      <c r="D6">
        <f t="shared" ref="D6:D69" si="5">IF(O6&lt;=U6,K6,Q6)</f>
        <v>3</v>
      </c>
      <c r="E6">
        <f t="shared" si="1"/>
        <v>1</v>
      </c>
      <c r="F6">
        <f t="shared" si="2"/>
        <v>7</v>
      </c>
      <c r="H6">
        <f>VLOOKUP(D6+1,nc,5,TRUE)</f>
        <v>7</v>
      </c>
      <c r="I6">
        <f>VLOOKUP(E6,nc,5,TRUE)</f>
        <v>0</v>
      </c>
      <c r="K6">
        <f t="shared" ref="K6:K69" si="6">D5</f>
        <v>2</v>
      </c>
      <c r="L6">
        <f>VLOOKUP(K6,nc,2,FALSE)</f>
        <v>5</v>
      </c>
      <c r="M6">
        <f t="shared" ref="M6:M69" si="7">B6-K6</f>
        <v>2</v>
      </c>
      <c r="N6">
        <f>VLOOKUP(M6,nc,2,FALSE)</f>
        <v>5</v>
      </c>
      <c r="O6">
        <f t="shared" ref="O6:O69" si="8">K6+L6+4*M6+N6</f>
        <v>20</v>
      </c>
      <c r="Q6">
        <f t="shared" ref="Q6:Q69" si="9">K6+1</f>
        <v>3</v>
      </c>
      <c r="R6">
        <f>VLOOKUP(Q6,nc,2,FALSE)</f>
        <v>11</v>
      </c>
      <c r="S6">
        <f t="shared" ref="S6:S69" si="10">B6-Q6</f>
        <v>1</v>
      </c>
      <c r="T6">
        <f>VLOOKUP(S6,nc,2,FALSE)</f>
        <v>0</v>
      </c>
      <c r="U6">
        <f t="shared" ref="U6:U69" si="11">Q6+R6+4*S6+T6</f>
        <v>18</v>
      </c>
      <c r="W6">
        <f t="shared" ref="W6:W69" si="12">N6-T6</f>
        <v>5</v>
      </c>
      <c r="X6">
        <f t="shared" ref="X6:X69" si="13">R6-L6-3</f>
        <v>3</v>
      </c>
      <c r="AA6">
        <f t="shared" si="3"/>
        <v>5</v>
      </c>
      <c r="AB6">
        <v>8</v>
      </c>
      <c r="AE6" s="1">
        <f>AR5</f>
        <v>96</v>
      </c>
      <c r="AF6" t="s">
        <v>2</v>
      </c>
      <c r="AG6">
        <f>AE6-AH6</f>
        <v>69</v>
      </c>
      <c r="AH6">
        <f>AH5+1</f>
        <v>27</v>
      </c>
      <c r="AJ6">
        <f>INDEX($AB$1:$AB$35,MATCH(AG6+1,$AA$1:$AA$35,1))</f>
        <v>17</v>
      </c>
      <c r="AK6">
        <f>AJ6-2</f>
        <v>15</v>
      </c>
      <c r="AL6">
        <f>INDEX($AA$1:$AA$35,MATCH(AK6,$AB$1:$AB$35,1))</f>
        <v>37</v>
      </c>
      <c r="AM6">
        <f>AG6+AL6</f>
        <v>106</v>
      </c>
      <c r="AT6">
        <f>AT5+1</f>
        <v>18</v>
      </c>
    </row>
    <row r="7" spans="2:46" x14ac:dyDescent="0.25">
      <c r="B7">
        <f t="shared" si="0"/>
        <v>5</v>
      </c>
      <c r="C7">
        <f t="shared" si="4"/>
        <v>26</v>
      </c>
      <c r="D7">
        <f t="shared" si="5"/>
        <v>4</v>
      </c>
      <c r="E7">
        <f t="shared" si="1"/>
        <v>1</v>
      </c>
      <c r="F7">
        <f t="shared" si="2"/>
        <v>8</v>
      </c>
      <c r="H7">
        <f>VLOOKUP(D7+1,nc,5,TRUE)</f>
        <v>8</v>
      </c>
      <c r="I7">
        <f>VLOOKUP(E7,nc,5,TRUE)</f>
        <v>0</v>
      </c>
      <c r="K7">
        <f t="shared" si="6"/>
        <v>3</v>
      </c>
      <c r="L7">
        <f>VLOOKUP(K7,nc,2,FALSE)</f>
        <v>11</v>
      </c>
      <c r="M7">
        <f t="shared" si="7"/>
        <v>2</v>
      </c>
      <c r="N7">
        <f>VLOOKUP(M7,nc,2,FALSE)</f>
        <v>5</v>
      </c>
      <c r="O7">
        <f t="shared" si="8"/>
        <v>27</v>
      </c>
      <c r="Q7">
        <f t="shared" si="9"/>
        <v>4</v>
      </c>
      <c r="R7">
        <f>VLOOKUP(Q7,nc,2,FALSE)</f>
        <v>18</v>
      </c>
      <c r="S7">
        <f t="shared" si="10"/>
        <v>1</v>
      </c>
      <c r="T7">
        <f>VLOOKUP(S7,nc,2,FALSE)</f>
        <v>0</v>
      </c>
      <c r="U7">
        <f t="shared" si="11"/>
        <v>26</v>
      </c>
      <c r="W7">
        <f t="shared" si="12"/>
        <v>5</v>
      </c>
      <c r="X7">
        <f t="shared" si="13"/>
        <v>4</v>
      </c>
      <c r="AA7">
        <f t="shared" si="3"/>
        <v>6</v>
      </c>
      <c r="AB7">
        <v>9</v>
      </c>
      <c r="AE7" s="1">
        <f>AM6</f>
        <v>106</v>
      </c>
      <c r="AF7" t="s">
        <v>3</v>
      </c>
      <c r="AG7">
        <f>AG6+1</f>
        <v>70</v>
      </c>
      <c r="AH7">
        <f>AE7-AG7</f>
        <v>36</v>
      </c>
      <c r="AO7">
        <f>INDEX($AB$1:$AB$35,MATCH(AH7+1,$AA$1:$AA$35,1))</f>
        <v>15</v>
      </c>
      <c r="AP7">
        <f>AO7+3</f>
        <v>18</v>
      </c>
      <c r="AQ7">
        <f>INDEX($AA$1:$AA$35,MATCH(AP7,$AB$1:$AB$35,1))</f>
        <v>96</v>
      </c>
      <c r="AR7">
        <f>AQ7+AH7</f>
        <v>132</v>
      </c>
      <c r="AT7">
        <f>AT6</f>
        <v>18</v>
      </c>
    </row>
    <row r="8" spans="2:46" x14ac:dyDescent="0.25">
      <c r="B8">
        <f t="shared" si="0"/>
        <v>6</v>
      </c>
      <c r="C8">
        <f t="shared" si="4"/>
        <v>35</v>
      </c>
      <c r="D8">
        <f t="shared" si="5"/>
        <v>4</v>
      </c>
      <c r="E8">
        <f t="shared" si="1"/>
        <v>2</v>
      </c>
      <c r="F8">
        <f t="shared" si="2"/>
        <v>9</v>
      </c>
      <c r="H8">
        <f>VLOOKUP(D8+1,nc,5,TRUE)</f>
        <v>8</v>
      </c>
      <c r="I8">
        <f>VLOOKUP(E8,nc,5,TRUE)</f>
        <v>5</v>
      </c>
      <c r="K8">
        <f t="shared" si="6"/>
        <v>4</v>
      </c>
      <c r="L8">
        <f>VLOOKUP(K8,nc,2,FALSE)</f>
        <v>18</v>
      </c>
      <c r="M8">
        <f t="shared" si="7"/>
        <v>2</v>
      </c>
      <c r="N8">
        <f>VLOOKUP(M8,nc,2,FALSE)</f>
        <v>5</v>
      </c>
      <c r="O8">
        <f t="shared" si="8"/>
        <v>35</v>
      </c>
      <c r="Q8">
        <f t="shared" si="9"/>
        <v>5</v>
      </c>
      <c r="R8">
        <f>VLOOKUP(Q8,nc,2,FALSE)</f>
        <v>26</v>
      </c>
      <c r="S8">
        <f t="shared" si="10"/>
        <v>1</v>
      </c>
      <c r="T8">
        <f>VLOOKUP(S8,nc,2,FALSE)</f>
        <v>0</v>
      </c>
      <c r="U8">
        <f t="shared" si="11"/>
        <v>35</v>
      </c>
      <c r="W8">
        <f t="shared" si="12"/>
        <v>5</v>
      </c>
      <c r="X8">
        <f t="shared" si="13"/>
        <v>5</v>
      </c>
      <c r="AA8">
        <f t="shared" si="3"/>
        <v>8</v>
      </c>
      <c r="AB8">
        <v>10</v>
      </c>
      <c r="AE8" s="1">
        <f>AR7</f>
        <v>132</v>
      </c>
      <c r="AF8" t="s">
        <v>2</v>
      </c>
      <c r="AG8">
        <f>AE8-AH8</f>
        <v>95</v>
      </c>
      <c r="AH8">
        <f>AH7+1</f>
        <v>37</v>
      </c>
      <c r="AJ8">
        <f>INDEX($AB$1:$AB$35,MATCH(AG8+1,$AA$1:$AA$35,1))</f>
        <v>18</v>
      </c>
      <c r="AK8">
        <f>AJ8-2</f>
        <v>16</v>
      </c>
      <c r="AL8">
        <f>INDEX($AA$1:$AA$35,MATCH(AK8,$AB$1:$AB$35,1))</f>
        <v>51</v>
      </c>
      <c r="AM8">
        <f>AG8+AL8</f>
        <v>146</v>
      </c>
      <c r="AT8">
        <f>AT7+1</f>
        <v>19</v>
      </c>
    </row>
    <row r="9" spans="2:46" x14ac:dyDescent="0.25">
      <c r="B9">
        <f t="shared" si="0"/>
        <v>7</v>
      </c>
      <c r="C9">
        <f t="shared" si="4"/>
        <v>44</v>
      </c>
      <c r="D9">
        <f t="shared" si="5"/>
        <v>5</v>
      </c>
      <c r="E9">
        <f t="shared" si="1"/>
        <v>2</v>
      </c>
      <c r="F9">
        <f t="shared" si="2"/>
        <v>9</v>
      </c>
      <c r="H9">
        <f>VLOOKUP(D9+1,nc,5,TRUE)</f>
        <v>9</v>
      </c>
      <c r="I9">
        <f>VLOOKUP(E9,nc,5,TRUE)</f>
        <v>5</v>
      </c>
      <c r="K9">
        <f t="shared" si="6"/>
        <v>4</v>
      </c>
      <c r="L9">
        <f>VLOOKUP(K9,nc,2,FALSE)</f>
        <v>18</v>
      </c>
      <c r="M9">
        <f t="shared" si="7"/>
        <v>3</v>
      </c>
      <c r="N9">
        <f>VLOOKUP(M9,nc,2,FALSE)</f>
        <v>11</v>
      </c>
      <c r="O9">
        <f t="shared" si="8"/>
        <v>45</v>
      </c>
      <c r="Q9">
        <f t="shared" si="9"/>
        <v>5</v>
      </c>
      <c r="R9">
        <f>VLOOKUP(Q9,nc,2,FALSE)</f>
        <v>26</v>
      </c>
      <c r="S9">
        <f t="shared" si="10"/>
        <v>2</v>
      </c>
      <c r="T9">
        <f>VLOOKUP(S9,nc,2,FALSE)</f>
        <v>5</v>
      </c>
      <c r="U9">
        <f t="shared" si="11"/>
        <v>44</v>
      </c>
      <c r="W9">
        <f t="shared" si="12"/>
        <v>6</v>
      </c>
      <c r="X9">
        <f t="shared" si="13"/>
        <v>5</v>
      </c>
      <c r="AA9">
        <f t="shared" si="3"/>
        <v>11</v>
      </c>
      <c r="AB9">
        <v>11</v>
      </c>
      <c r="AE9" s="1">
        <f>AM8</f>
        <v>146</v>
      </c>
      <c r="AF9" t="s">
        <v>3</v>
      </c>
      <c r="AG9">
        <f>AG8+1</f>
        <v>96</v>
      </c>
      <c r="AH9">
        <f>AE9-AG9</f>
        <v>50</v>
      </c>
      <c r="AO9">
        <f>INDEX($AB$1:$AB$35,MATCH(AH9+1,$AA$1:$AA$35,1))</f>
        <v>16</v>
      </c>
      <c r="AP9">
        <f>AO9+3</f>
        <v>19</v>
      </c>
      <c r="AQ9">
        <f>INDEX($AA$1:$AA$35,MATCH(AP9,$AB$1:$AB$35,1))</f>
        <v>132</v>
      </c>
      <c r="AR9">
        <f>AQ9+AH9</f>
        <v>182</v>
      </c>
      <c r="AT9">
        <f>AT8</f>
        <v>19</v>
      </c>
    </row>
    <row r="10" spans="2:46" x14ac:dyDescent="0.25">
      <c r="B10">
        <f t="shared" si="0"/>
        <v>8</v>
      </c>
      <c r="C10">
        <f t="shared" si="4"/>
        <v>54</v>
      </c>
      <c r="D10">
        <f t="shared" si="5"/>
        <v>5</v>
      </c>
      <c r="E10">
        <f t="shared" si="1"/>
        <v>3</v>
      </c>
      <c r="F10">
        <f t="shared" si="2"/>
        <v>10</v>
      </c>
      <c r="H10">
        <f>VLOOKUP(D10+1,nc,5,TRUE)</f>
        <v>9</v>
      </c>
      <c r="I10">
        <f>VLOOKUP(E10,nc,5,TRUE)</f>
        <v>6</v>
      </c>
      <c r="K10">
        <f t="shared" si="6"/>
        <v>5</v>
      </c>
      <c r="L10">
        <f>VLOOKUP(K10,nc,2,FALSE)</f>
        <v>26</v>
      </c>
      <c r="M10">
        <f t="shared" si="7"/>
        <v>3</v>
      </c>
      <c r="N10">
        <f>VLOOKUP(M10,nc,2,FALSE)</f>
        <v>11</v>
      </c>
      <c r="O10">
        <f t="shared" si="8"/>
        <v>54</v>
      </c>
      <c r="Q10">
        <f t="shared" si="9"/>
        <v>6</v>
      </c>
      <c r="R10">
        <f>VLOOKUP(Q10,nc,2,FALSE)</f>
        <v>35</v>
      </c>
      <c r="S10">
        <f t="shared" si="10"/>
        <v>2</v>
      </c>
      <c r="T10">
        <f>VLOOKUP(S10,nc,2,FALSE)</f>
        <v>5</v>
      </c>
      <c r="U10">
        <f t="shared" si="11"/>
        <v>54</v>
      </c>
      <c r="W10">
        <f t="shared" si="12"/>
        <v>6</v>
      </c>
      <c r="X10">
        <f t="shared" si="13"/>
        <v>6</v>
      </c>
      <c r="AA10">
        <f t="shared" si="3"/>
        <v>15</v>
      </c>
      <c r="AB10">
        <v>12</v>
      </c>
      <c r="AE10" s="1">
        <f>AR9</f>
        <v>182</v>
      </c>
      <c r="AF10" t="s">
        <v>2</v>
      </c>
      <c r="AG10">
        <f>AE10-AH10</f>
        <v>131</v>
      </c>
      <c r="AH10">
        <f>AH9+1</f>
        <v>51</v>
      </c>
      <c r="AJ10">
        <f>INDEX($AB$1:$AB$35,MATCH(AG10+1,$AA$1:$AA$35,1))</f>
        <v>19</v>
      </c>
      <c r="AK10">
        <f>AJ10-2</f>
        <v>17</v>
      </c>
      <c r="AL10">
        <f>INDEX($AA$1:$AA$35,MATCH(AK10,$AB$1:$AB$35,1))</f>
        <v>70</v>
      </c>
      <c r="AM10">
        <f>AG10+AL10</f>
        <v>201</v>
      </c>
      <c r="AT10">
        <f>AT9+1</f>
        <v>20</v>
      </c>
    </row>
    <row r="11" spans="2:46" x14ac:dyDescent="0.25">
      <c r="B11">
        <f t="shared" si="0"/>
        <v>9</v>
      </c>
      <c r="C11">
        <f t="shared" si="4"/>
        <v>64</v>
      </c>
      <c r="D11">
        <f t="shared" si="5"/>
        <v>6</v>
      </c>
      <c r="E11">
        <f t="shared" si="1"/>
        <v>3</v>
      </c>
      <c r="F11">
        <f t="shared" si="2"/>
        <v>10</v>
      </c>
      <c r="H11">
        <f>VLOOKUP(D11+1,nc,5,TRUE)</f>
        <v>9</v>
      </c>
      <c r="I11">
        <f>VLOOKUP(E11,nc,5,TRUE)</f>
        <v>6</v>
      </c>
      <c r="K11">
        <f t="shared" si="6"/>
        <v>5</v>
      </c>
      <c r="L11">
        <f>VLOOKUP(K11,nc,2,FALSE)</f>
        <v>26</v>
      </c>
      <c r="M11">
        <f t="shared" si="7"/>
        <v>4</v>
      </c>
      <c r="N11">
        <f>VLOOKUP(M11,nc,2,FALSE)</f>
        <v>18</v>
      </c>
      <c r="O11">
        <f t="shared" si="8"/>
        <v>65</v>
      </c>
      <c r="Q11">
        <f t="shared" si="9"/>
        <v>6</v>
      </c>
      <c r="R11">
        <f>VLOOKUP(Q11,nc,2,FALSE)</f>
        <v>35</v>
      </c>
      <c r="S11">
        <f t="shared" si="10"/>
        <v>3</v>
      </c>
      <c r="T11">
        <f>VLOOKUP(S11,nc,2,FALSE)</f>
        <v>11</v>
      </c>
      <c r="U11">
        <f t="shared" si="11"/>
        <v>64</v>
      </c>
      <c r="W11">
        <f t="shared" si="12"/>
        <v>7</v>
      </c>
      <c r="X11">
        <f t="shared" si="13"/>
        <v>6</v>
      </c>
      <c r="AA11">
        <f t="shared" si="3"/>
        <v>20</v>
      </c>
      <c r="AB11">
        <v>13</v>
      </c>
      <c r="AE11" s="1">
        <f>AM10</f>
        <v>201</v>
      </c>
      <c r="AF11" t="s">
        <v>3</v>
      </c>
      <c r="AG11">
        <f>AG10+1</f>
        <v>132</v>
      </c>
      <c r="AH11">
        <f>AE11-AG11</f>
        <v>69</v>
      </c>
      <c r="AO11">
        <f>INDEX($AB$1:$AB$35,MATCH(AH11+1,$AA$1:$AA$35,1))</f>
        <v>17</v>
      </c>
      <c r="AP11">
        <f>AO11+3</f>
        <v>20</v>
      </c>
      <c r="AQ11">
        <f>INDEX($AA$1:$AA$35,MATCH(AP11,$AB$1:$AB$35,1))</f>
        <v>182</v>
      </c>
      <c r="AR11">
        <f>AQ11+AH11</f>
        <v>251</v>
      </c>
      <c r="AT11">
        <f>AT10</f>
        <v>20</v>
      </c>
    </row>
    <row r="12" spans="2:46" x14ac:dyDescent="0.25">
      <c r="B12">
        <f t="shared" si="0"/>
        <v>10</v>
      </c>
      <c r="C12">
        <f t="shared" si="4"/>
        <v>74</v>
      </c>
      <c r="D12">
        <f t="shared" si="5"/>
        <v>7</v>
      </c>
      <c r="E12">
        <f t="shared" si="1"/>
        <v>3</v>
      </c>
      <c r="F12">
        <f t="shared" si="2"/>
        <v>10</v>
      </c>
      <c r="H12">
        <f>VLOOKUP(D12+1,nc,5,TRUE)</f>
        <v>10</v>
      </c>
      <c r="I12">
        <f>VLOOKUP(E12,nc,5,TRUE)</f>
        <v>6</v>
      </c>
      <c r="K12">
        <f t="shared" si="6"/>
        <v>6</v>
      </c>
      <c r="L12">
        <f>VLOOKUP(K12,nc,2,FALSE)</f>
        <v>35</v>
      </c>
      <c r="M12">
        <f t="shared" si="7"/>
        <v>4</v>
      </c>
      <c r="N12">
        <f>VLOOKUP(M12,nc,2,FALSE)</f>
        <v>18</v>
      </c>
      <c r="O12">
        <f t="shared" si="8"/>
        <v>75</v>
      </c>
      <c r="Q12">
        <f t="shared" si="9"/>
        <v>7</v>
      </c>
      <c r="R12">
        <f>VLOOKUP(Q12,nc,2,FALSE)</f>
        <v>44</v>
      </c>
      <c r="S12">
        <f t="shared" si="10"/>
        <v>3</v>
      </c>
      <c r="T12">
        <f>VLOOKUP(S12,nc,2,FALSE)</f>
        <v>11</v>
      </c>
      <c r="U12">
        <f t="shared" si="11"/>
        <v>74</v>
      </c>
      <c r="W12">
        <f t="shared" si="12"/>
        <v>7</v>
      </c>
      <c r="X12">
        <f t="shared" si="13"/>
        <v>6</v>
      </c>
      <c r="AA12">
        <f t="shared" si="3"/>
        <v>27</v>
      </c>
      <c r="AB12">
        <v>14</v>
      </c>
      <c r="AE12" s="1">
        <f>AR11</f>
        <v>251</v>
      </c>
      <c r="AF12" t="s">
        <v>2</v>
      </c>
      <c r="AG12">
        <f>AE12-AH12</f>
        <v>181</v>
      </c>
      <c r="AH12">
        <f>AH11+1</f>
        <v>70</v>
      </c>
      <c r="AJ12">
        <f>INDEX($AB$1:$AB$35,MATCH(AG12+1,$AA$1:$AA$35,1))</f>
        <v>20</v>
      </c>
      <c r="AK12">
        <f>AJ12-2</f>
        <v>18</v>
      </c>
      <c r="AL12">
        <f>INDEX($AA$1:$AA$35,MATCH(AK12,$AB$1:$AB$35,1))</f>
        <v>96</v>
      </c>
      <c r="AM12">
        <f>AG12+AL12</f>
        <v>277</v>
      </c>
      <c r="AT12">
        <f>AT11+1</f>
        <v>21</v>
      </c>
    </row>
    <row r="13" spans="2:46" x14ac:dyDescent="0.25">
      <c r="B13">
        <f t="shared" si="0"/>
        <v>11</v>
      </c>
      <c r="C13">
        <f t="shared" si="4"/>
        <v>85</v>
      </c>
      <c r="D13">
        <f t="shared" si="5"/>
        <v>7</v>
      </c>
      <c r="E13">
        <f t="shared" si="1"/>
        <v>4</v>
      </c>
      <c r="F13">
        <f t="shared" si="2"/>
        <v>11</v>
      </c>
      <c r="H13">
        <f>VLOOKUP(D13+1,nc,5,TRUE)</f>
        <v>10</v>
      </c>
      <c r="I13">
        <f>VLOOKUP(E13,nc,5,TRUE)</f>
        <v>7</v>
      </c>
      <c r="K13">
        <f t="shared" si="6"/>
        <v>7</v>
      </c>
      <c r="L13">
        <f>VLOOKUP(K13,nc,2,FALSE)</f>
        <v>44</v>
      </c>
      <c r="M13">
        <f t="shared" si="7"/>
        <v>4</v>
      </c>
      <c r="N13">
        <f>VLOOKUP(M13,nc,2,FALSE)</f>
        <v>18</v>
      </c>
      <c r="O13">
        <f t="shared" si="8"/>
        <v>85</v>
      </c>
      <c r="Q13">
        <f t="shared" si="9"/>
        <v>8</v>
      </c>
      <c r="R13">
        <f>VLOOKUP(Q13,nc,2,FALSE)</f>
        <v>54</v>
      </c>
      <c r="S13">
        <f t="shared" si="10"/>
        <v>3</v>
      </c>
      <c r="T13">
        <f>VLOOKUP(S13,nc,2,FALSE)</f>
        <v>11</v>
      </c>
      <c r="U13">
        <f t="shared" si="11"/>
        <v>85</v>
      </c>
      <c r="W13">
        <f t="shared" si="12"/>
        <v>7</v>
      </c>
      <c r="X13">
        <f t="shared" si="13"/>
        <v>7</v>
      </c>
      <c r="AA13">
        <f t="shared" si="3"/>
        <v>37</v>
      </c>
      <c r="AB13">
        <v>15</v>
      </c>
      <c r="AE13" s="1">
        <f>AM12</f>
        <v>277</v>
      </c>
      <c r="AF13" t="s">
        <v>3</v>
      </c>
      <c r="AG13">
        <f>AG12+1</f>
        <v>182</v>
      </c>
      <c r="AH13">
        <f>AE13-AG13</f>
        <v>95</v>
      </c>
      <c r="AO13">
        <f>INDEX($AB$1:$AB$35,MATCH(AH13+1,$AA$1:$AA$35,1))</f>
        <v>18</v>
      </c>
      <c r="AP13">
        <f>AO13+3</f>
        <v>21</v>
      </c>
      <c r="AQ13">
        <f>INDEX($AA$1:$AA$35,MATCH(AP13,$AB$1:$AB$35,1))</f>
        <v>182</v>
      </c>
      <c r="AR13">
        <f>AQ13+AH13</f>
        <v>277</v>
      </c>
      <c r="AT13">
        <f>AT12</f>
        <v>21</v>
      </c>
    </row>
    <row r="14" spans="2:46" x14ac:dyDescent="0.25">
      <c r="B14">
        <f t="shared" si="0"/>
        <v>12</v>
      </c>
      <c r="C14">
        <f t="shared" si="4"/>
        <v>96</v>
      </c>
      <c r="D14">
        <f t="shared" si="5"/>
        <v>8</v>
      </c>
      <c r="E14">
        <f t="shared" si="1"/>
        <v>4</v>
      </c>
      <c r="F14">
        <f t="shared" si="2"/>
        <v>11</v>
      </c>
      <c r="H14">
        <f>VLOOKUP(D14+1,nc,5,TRUE)</f>
        <v>10</v>
      </c>
      <c r="I14">
        <f>VLOOKUP(E14,nc,5,TRUE)</f>
        <v>7</v>
      </c>
      <c r="K14">
        <f t="shared" si="6"/>
        <v>7</v>
      </c>
      <c r="L14">
        <f>VLOOKUP(K14,nc,2,FALSE)</f>
        <v>44</v>
      </c>
      <c r="M14">
        <f t="shared" si="7"/>
        <v>5</v>
      </c>
      <c r="N14">
        <f>VLOOKUP(M14,nc,2,FALSE)</f>
        <v>26</v>
      </c>
      <c r="O14">
        <f t="shared" si="8"/>
        <v>97</v>
      </c>
      <c r="Q14">
        <f t="shared" si="9"/>
        <v>8</v>
      </c>
      <c r="R14">
        <f>VLOOKUP(Q14,nc,2,FALSE)</f>
        <v>54</v>
      </c>
      <c r="S14">
        <f t="shared" si="10"/>
        <v>4</v>
      </c>
      <c r="T14">
        <f>VLOOKUP(S14,nc,2,FALSE)</f>
        <v>18</v>
      </c>
      <c r="U14">
        <f t="shared" si="11"/>
        <v>96</v>
      </c>
      <c r="W14">
        <f t="shared" si="12"/>
        <v>8</v>
      </c>
      <c r="X14">
        <f t="shared" si="13"/>
        <v>7</v>
      </c>
      <c r="AA14">
        <f t="shared" si="3"/>
        <v>51</v>
      </c>
      <c r="AB14">
        <v>16</v>
      </c>
    </row>
    <row r="15" spans="2:46" x14ac:dyDescent="0.25">
      <c r="B15">
        <f t="shared" si="0"/>
        <v>13</v>
      </c>
      <c r="C15">
        <f t="shared" si="4"/>
        <v>107</v>
      </c>
      <c r="D15">
        <f t="shared" si="5"/>
        <v>9</v>
      </c>
      <c r="E15">
        <f t="shared" si="1"/>
        <v>4</v>
      </c>
      <c r="F15">
        <f t="shared" si="2"/>
        <v>11</v>
      </c>
      <c r="H15">
        <f>VLOOKUP(D15+1,nc,5,TRUE)</f>
        <v>10</v>
      </c>
      <c r="I15">
        <f>VLOOKUP(E15,nc,5,TRUE)</f>
        <v>7</v>
      </c>
      <c r="K15">
        <f t="shared" si="6"/>
        <v>8</v>
      </c>
      <c r="L15">
        <f>VLOOKUP(K15,nc,2,FALSE)</f>
        <v>54</v>
      </c>
      <c r="M15">
        <f t="shared" si="7"/>
        <v>5</v>
      </c>
      <c r="N15">
        <f>VLOOKUP(M15,nc,2,FALSE)</f>
        <v>26</v>
      </c>
      <c r="O15">
        <f t="shared" si="8"/>
        <v>108</v>
      </c>
      <c r="Q15">
        <f t="shared" si="9"/>
        <v>9</v>
      </c>
      <c r="R15">
        <f>VLOOKUP(Q15,nc,2,FALSE)</f>
        <v>64</v>
      </c>
      <c r="S15">
        <f t="shared" si="10"/>
        <v>4</v>
      </c>
      <c r="T15">
        <f>VLOOKUP(S15,nc,2,FALSE)</f>
        <v>18</v>
      </c>
      <c r="U15">
        <f t="shared" si="11"/>
        <v>107</v>
      </c>
      <c r="W15">
        <f t="shared" si="12"/>
        <v>8</v>
      </c>
      <c r="X15">
        <f t="shared" si="13"/>
        <v>7</v>
      </c>
      <c r="AA15">
        <f t="shared" si="3"/>
        <v>70</v>
      </c>
      <c r="AB15">
        <v>17</v>
      </c>
    </row>
    <row r="16" spans="2:46" x14ac:dyDescent="0.25">
      <c r="B16">
        <f t="shared" si="0"/>
        <v>14</v>
      </c>
      <c r="C16">
        <f t="shared" si="4"/>
        <v>118</v>
      </c>
      <c r="D16">
        <f t="shared" si="5"/>
        <v>10</v>
      </c>
      <c r="E16">
        <f t="shared" si="1"/>
        <v>4</v>
      </c>
      <c r="F16">
        <f t="shared" si="2"/>
        <v>11</v>
      </c>
      <c r="H16">
        <f>VLOOKUP(D16+1,nc,5,TRUE)</f>
        <v>11</v>
      </c>
      <c r="I16">
        <f>VLOOKUP(E16,nc,5,TRUE)</f>
        <v>7</v>
      </c>
      <c r="K16">
        <f t="shared" si="6"/>
        <v>9</v>
      </c>
      <c r="L16">
        <f>VLOOKUP(K16,nc,2,FALSE)</f>
        <v>64</v>
      </c>
      <c r="M16">
        <f t="shared" si="7"/>
        <v>5</v>
      </c>
      <c r="N16">
        <f>VLOOKUP(M16,nc,2,FALSE)</f>
        <v>26</v>
      </c>
      <c r="O16">
        <f t="shared" si="8"/>
        <v>119</v>
      </c>
      <c r="Q16">
        <f t="shared" si="9"/>
        <v>10</v>
      </c>
      <c r="R16">
        <f>VLOOKUP(Q16,nc,2,FALSE)</f>
        <v>74</v>
      </c>
      <c r="S16">
        <f t="shared" si="10"/>
        <v>4</v>
      </c>
      <c r="T16">
        <f>VLOOKUP(S16,nc,2,FALSE)</f>
        <v>18</v>
      </c>
      <c r="U16">
        <f t="shared" si="11"/>
        <v>118</v>
      </c>
      <c r="W16">
        <f t="shared" si="12"/>
        <v>8</v>
      </c>
      <c r="X16">
        <f t="shared" si="13"/>
        <v>7</v>
      </c>
      <c r="AA16">
        <f t="shared" si="3"/>
        <v>96</v>
      </c>
      <c r="AB16">
        <v>18</v>
      </c>
    </row>
    <row r="17" spans="2:48" x14ac:dyDescent="0.25">
      <c r="B17">
        <f t="shared" si="0"/>
        <v>15</v>
      </c>
      <c r="C17">
        <f t="shared" si="4"/>
        <v>130</v>
      </c>
      <c r="D17">
        <f t="shared" si="5"/>
        <v>10</v>
      </c>
      <c r="E17">
        <f t="shared" si="1"/>
        <v>5</v>
      </c>
      <c r="F17">
        <f t="shared" si="2"/>
        <v>12</v>
      </c>
      <c r="H17">
        <f>VLOOKUP(D17+1,nc,5,TRUE)</f>
        <v>11</v>
      </c>
      <c r="I17">
        <f>VLOOKUP(E17,nc,5,TRUE)</f>
        <v>8</v>
      </c>
      <c r="K17">
        <f t="shared" si="6"/>
        <v>10</v>
      </c>
      <c r="L17">
        <f>VLOOKUP(K17,nc,2,FALSE)</f>
        <v>74</v>
      </c>
      <c r="M17">
        <f t="shared" si="7"/>
        <v>5</v>
      </c>
      <c r="N17">
        <f>VLOOKUP(M17,nc,2,FALSE)</f>
        <v>26</v>
      </c>
      <c r="O17">
        <f t="shared" si="8"/>
        <v>130</v>
      </c>
      <c r="Q17">
        <f t="shared" si="9"/>
        <v>11</v>
      </c>
      <c r="R17">
        <f>VLOOKUP(Q17,nc,2,FALSE)</f>
        <v>85</v>
      </c>
      <c r="S17">
        <f t="shared" si="10"/>
        <v>4</v>
      </c>
      <c r="T17">
        <f>VLOOKUP(S17,nc,2,FALSE)</f>
        <v>18</v>
      </c>
      <c r="U17">
        <f t="shared" si="11"/>
        <v>130</v>
      </c>
      <c r="W17">
        <f t="shared" si="12"/>
        <v>8</v>
      </c>
      <c r="X17">
        <f t="shared" si="13"/>
        <v>8</v>
      </c>
      <c r="AA17">
        <f t="shared" si="3"/>
        <v>132</v>
      </c>
      <c r="AB17">
        <v>19</v>
      </c>
    </row>
    <row r="18" spans="2:48" x14ac:dyDescent="0.25">
      <c r="B18">
        <f t="shared" si="0"/>
        <v>16</v>
      </c>
      <c r="C18">
        <f t="shared" si="4"/>
        <v>142</v>
      </c>
      <c r="D18">
        <f t="shared" si="5"/>
        <v>11</v>
      </c>
      <c r="E18">
        <f t="shared" si="1"/>
        <v>5</v>
      </c>
      <c r="F18">
        <f t="shared" si="2"/>
        <v>12</v>
      </c>
      <c r="H18">
        <f>VLOOKUP(D18+1,nc,5,TRUE)</f>
        <v>11</v>
      </c>
      <c r="I18">
        <f>VLOOKUP(E18,nc,5,TRUE)</f>
        <v>8</v>
      </c>
      <c r="K18">
        <f t="shared" si="6"/>
        <v>10</v>
      </c>
      <c r="L18">
        <f>VLOOKUP(K18,nc,2,FALSE)</f>
        <v>74</v>
      </c>
      <c r="M18">
        <f t="shared" si="7"/>
        <v>6</v>
      </c>
      <c r="N18">
        <f>VLOOKUP(M18,nc,2,FALSE)</f>
        <v>35</v>
      </c>
      <c r="O18">
        <f t="shared" si="8"/>
        <v>143</v>
      </c>
      <c r="Q18">
        <f t="shared" si="9"/>
        <v>11</v>
      </c>
      <c r="R18">
        <f>VLOOKUP(Q18,nc,2,FALSE)</f>
        <v>85</v>
      </c>
      <c r="S18">
        <f t="shared" si="10"/>
        <v>5</v>
      </c>
      <c r="T18">
        <f>VLOOKUP(S18,nc,2,FALSE)</f>
        <v>26</v>
      </c>
      <c r="U18">
        <f t="shared" si="11"/>
        <v>142</v>
      </c>
      <c r="W18">
        <f t="shared" si="12"/>
        <v>9</v>
      </c>
      <c r="X18">
        <f t="shared" si="13"/>
        <v>8</v>
      </c>
      <c r="AA18">
        <f t="shared" si="3"/>
        <v>182</v>
      </c>
      <c r="AB18">
        <v>20</v>
      </c>
    </row>
    <row r="19" spans="2:48" x14ac:dyDescent="0.25">
      <c r="B19">
        <f t="shared" si="0"/>
        <v>17</v>
      </c>
      <c r="C19">
        <f t="shared" si="4"/>
        <v>154</v>
      </c>
      <c r="D19">
        <f t="shared" si="5"/>
        <v>12</v>
      </c>
      <c r="E19">
        <f t="shared" si="1"/>
        <v>5</v>
      </c>
      <c r="F19">
        <f t="shared" si="2"/>
        <v>12</v>
      </c>
      <c r="H19">
        <f>VLOOKUP(D19+1,nc,5,TRUE)</f>
        <v>11</v>
      </c>
      <c r="I19">
        <f>VLOOKUP(E19,nc,5,TRUE)</f>
        <v>8</v>
      </c>
      <c r="K19">
        <f t="shared" si="6"/>
        <v>11</v>
      </c>
      <c r="L19">
        <f>VLOOKUP(K19,nc,2,FALSE)</f>
        <v>85</v>
      </c>
      <c r="M19">
        <f t="shared" si="7"/>
        <v>6</v>
      </c>
      <c r="N19">
        <f>VLOOKUP(M19,nc,2,FALSE)</f>
        <v>35</v>
      </c>
      <c r="O19">
        <f t="shared" si="8"/>
        <v>155</v>
      </c>
      <c r="Q19">
        <f t="shared" si="9"/>
        <v>12</v>
      </c>
      <c r="R19">
        <f>VLOOKUP(Q19,nc,2,FALSE)</f>
        <v>96</v>
      </c>
      <c r="S19">
        <f t="shared" si="10"/>
        <v>5</v>
      </c>
      <c r="T19">
        <f>VLOOKUP(S19,nc,2,FALSE)</f>
        <v>26</v>
      </c>
      <c r="U19">
        <f t="shared" si="11"/>
        <v>154</v>
      </c>
      <c r="W19">
        <f t="shared" si="12"/>
        <v>9</v>
      </c>
      <c r="X19">
        <f t="shared" si="13"/>
        <v>8</v>
      </c>
    </row>
    <row r="20" spans="2:48" x14ac:dyDescent="0.25">
      <c r="B20">
        <f t="shared" si="0"/>
        <v>18</v>
      </c>
      <c r="C20">
        <f t="shared" si="4"/>
        <v>166</v>
      </c>
      <c r="D20">
        <f t="shared" si="5"/>
        <v>13</v>
      </c>
      <c r="E20">
        <f t="shared" si="1"/>
        <v>5</v>
      </c>
      <c r="F20">
        <f t="shared" si="2"/>
        <v>12</v>
      </c>
      <c r="H20">
        <f>VLOOKUP(D20+1,nc,5,TRUE)</f>
        <v>11</v>
      </c>
      <c r="I20">
        <f>VLOOKUP(E20,nc,5,TRUE)</f>
        <v>8</v>
      </c>
      <c r="K20">
        <f t="shared" si="6"/>
        <v>12</v>
      </c>
      <c r="L20">
        <f>VLOOKUP(K20,nc,2,FALSE)</f>
        <v>96</v>
      </c>
      <c r="M20">
        <f t="shared" si="7"/>
        <v>6</v>
      </c>
      <c r="N20">
        <f>VLOOKUP(M20,nc,2,FALSE)</f>
        <v>35</v>
      </c>
      <c r="O20">
        <f t="shared" si="8"/>
        <v>167</v>
      </c>
      <c r="Q20">
        <f t="shared" si="9"/>
        <v>13</v>
      </c>
      <c r="R20">
        <f>VLOOKUP(Q20,nc,2,FALSE)</f>
        <v>107</v>
      </c>
      <c r="S20">
        <f t="shared" si="10"/>
        <v>5</v>
      </c>
      <c r="T20">
        <f>VLOOKUP(S20,nc,2,FALSE)</f>
        <v>26</v>
      </c>
      <c r="U20">
        <f t="shared" si="11"/>
        <v>166</v>
      </c>
      <c r="W20">
        <f t="shared" si="12"/>
        <v>9</v>
      </c>
      <c r="X20">
        <f t="shared" si="13"/>
        <v>8</v>
      </c>
    </row>
    <row r="21" spans="2:48" x14ac:dyDescent="0.25">
      <c r="B21" s="2">
        <f t="shared" si="0"/>
        <v>19</v>
      </c>
      <c r="C21" s="2">
        <f t="shared" si="4"/>
        <v>178</v>
      </c>
      <c r="D21" s="2">
        <f t="shared" si="5"/>
        <v>14</v>
      </c>
      <c r="E21" s="2">
        <f t="shared" si="1"/>
        <v>5</v>
      </c>
      <c r="F21" s="2">
        <f t="shared" si="2"/>
        <v>12</v>
      </c>
      <c r="G21" s="2"/>
      <c r="H21" s="2">
        <f>VLOOKUP(D21+1,nc,5,TRUE)</f>
        <v>12</v>
      </c>
      <c r="I21" s="2">
        <f>VLOOKUP(E21,nc,5,TRUE)</f>
        <v>8</v>
      </c>
      <c r="J21" s="2"/>
      <c r="K21" s="2">
        <f t="shared" si="6"/>
        <v>13</v>
      </c>
      <c r="L21" s="2">
        <f>VLOOKUP(K21,nc,2,FALSE)</f>
        <v>107</v>
      </c>
      <c r="M21" s="2">
        <f t="shared" si="7"/>
        <v>6</v>
      </c>
      <c r="N21" s="2">
        <f>VLOOKUP(M21,nc,2,FALSE)</f>
        <v>35</v>
      </c>
      <c r="O21" s="2">
        <f t="shared" si="8"/>
        <v>179</v>
      </c>
      <c r="P21" s="2"/>
      <c r="Q21" s="2">
        <f t="shared" si="9"/>
        <v>14</v>
      </c>
      <c r="R21" s="2">
        <f>VLOOKUP(Q21,nc,2,FALSE)</f>
        <v>118</v>
      </c>
      <c r="S21" s="2">
        <f t="shared" si="10"/>
        <v>5</v>
      </c>
      <c r="T21" s="2">
        <f>VLOOKUP(S21,nc,2,FALSE)</f>
        <v>26</v>
      </c>
      <c r="U21" s="2">
        <f t="shared" si="11"/>
        <v>178</v>
      </c>
      <c r="V21" s="2"/>
      <c r="W21" s="2">
        <f t="shared" si="12"/>
        <v>9</v>
      </c>
      <c r="X21" s="2">
        <f t="shared" si="13"/>
        <v>8</v>
      </c>
      <c r="AE21" s="1" t="s">
        <v>0</v>
      </c>
      <c r="AF21" t="s">
        <v>16</v>
      </c>
      <c r="AG21" t="s">
        <v>7</v>
      </c>
      <c r="AH21" t="s">
        <v>17</v>
      </c>
      <c r="AJ21" t="s">
        <v>18</v>
      </c>
      <c r="AK21" t="s">
        <v>19</v>
      </c>
      <c r="AL21" t="s">
        <v>20</v>
      </c>
      <c r="AM21" t="s">
        <v>0</v>
      </c>
      <c r="AO21" t="s">
        <v>21</v>
      </c>
      <c r="AP21" t="s">
        <v>22</v>
      </c>
      <c r="AQ21" t="s">
        <v>23</v>
      </c>
      <c r="AR21" t="s">
        <v>0</v>
      </c>
      <c r="AT21" t="s">
        <v>24</v>
      </c>
      <c r="AU21" t="s">
        <v>4</v>
      </c>
      <c r="AV21" s="1" t="s">
        <v>1</v>
      </c>
    </row>
    <row r="22" spans="2:48" x14ac:dyDescent="0.25">
      <c r="B22" s="3">
        <f t="shared" si="0"/>
        <v>20</v>
      </c>
      <c r="C22" s="3">
        <f t="shared" si="4"/>
        <v>191</v>
      </c>
      <c r="D22" s="3">
        <f t="shared" si="5"/>
        <v>14</v>
      </c>
      <c r="E22" s="3">
        <f t="shared" si="1"/>
        <v>6</v>
      </c>
      <c r="F22" s="3">
        <f t="shared" si="2"/>
        <v>13</v>
      </c>
      <c r="G22" s="3"/>
      <c r="H22" s="3">
        <f>VLOOKUP(D22+1,nc,5,TRUE)</f>
        <v>12</v>
      </c>
      <c r="I22" s="3">
        <f>VLOOKUP(E22,nc,5,TRUE)</f>
        <v>9</v>
      </c>
      <c r="J22" s="3"/>
      <c r="K22" s="3">
        <f t="shared" si="6"/>
        <v>14</v>
      </c>
      <c r="L22" s="3">
        <f>VLOOKUP(K22,nc,2,FALSE)</f>
        <v>118</v>
      </c>
      <c r="M22" s="3">
        <f t="shared" si="7"/>
        <v>6</v>
      </c>
      <c r="N22" s="3">
        <f>VLOOKUP(M22,nc,2,FALSE)</f>
        <v>35</v>
      </c>
      <c r="O22" s="3">
        <f t="shared" si="8"/>
        <v>191</v>
      </c>
      <c r="P22" s="3"/>
      <c r="Q22" s="3">
        <f t="shared" si="9"/>
        <v>15</v>
      </c>
      <c r="R22" s="3">
        <f>VLOOKUP(Q22,nc,2,FALSE)</f>
        <v>130</v>
      </c>
      <c r="S22" s="3">
        <f t="shared" si="10"/>
        <v>5</v>
      </c>
      <c r="T22" s="3">
        <f>VLOOKUP(S22,nc,2,FALSE)</f>
        <v>26</v>
      </c>
      <c r="U22" s="3">
        <f t="shared" si="11"/>
        <v>191</v>
      </c>
      <c r="V22" s="3"/>
      <c r="W22" s="3">
        <f t="shared" si="12"/>
        <v>9</v>
      </c>
      <c r="X22" s="3">
        <f t="shared" si="13"/>
        <v>9</v>
      </c>
      <c r="AE22" s="1">
        <v>1</v>
      </c>
      <c r="AT22">
        <v>1</v>
      </c>
      <c r="AU22">
        <v>0</v>
      </c>
      <c r="AV22" s="1">
        <v>0</v>
      </c>
    </row>
    <row r="23" spans="2:48" x14ac:dyDescent="0.25">
      <c r="B23">
        <f t="shared" si="0"/>
        <v>21</v>
      </c>
      <c r="C23">
        <f t="shared" si="4"/>
        <v>204</v>
      </c>
      <c r="D23">
        <f t="shared" si="5"/>
        <v>14</v>
      </c>
      <c r="E23">
        <f t="shared" si="1"/>
        <v>7</v>
      </c>
      <c r="F23">
        <f t="shared" si="2"/>
        <v>13</v>
      </c>
      <c r="H23">
        <f>VLOOKUP(D23+1,nc,5,TRUE)</f>
        <v>12</v>
      </c>
      <c r="I23">
        <f>VLOOKUP(E23,nc,5,TRUE)</f>
        <v>9</v>
      </c>
      <c r="K23">
        <f t="shared" si="6"/>
        <v>14</v>
      </c>
      <c r="L23">
        <f>VLOOKUP(K23,nc,2,FALSE)</f>
        <v>118</v>
      </c>
      <c r="M23">
        <f t="shared" si="7"/>
        <v>7</v>
      </c>
      <c r="N23">
        <f>VLOOKUP(M23,nc,2,FALSE)</f>
        <v>44</v>
      </c>
      <c r="O23">
        <f t="shared" si="8"/>
        <v>204</v>
      </c>
      <c r="Q23">
        <f t="shared" si="9"/>
        <v>15</v>
      </c>
      <c r="R23">
        <f>VLOOKUP(Q23,nc,2,FALSE)</f>
        <v>130</v>
      </c>
      <c r="S23">
        <f t="shared" si="10"/>
        <v>6</v>
      </c>
      <c r="T23">
        <f>VLOOKUP(S23,nc,2,FALSE)</f>
        <v>35</v>
      </c>
      <c r="U23">
        <f t="shared" si="11"/>
        <v>204</v>
      </c>
      <c r="W23">
        <f t="shared" si="12"/>
        <v>9</v>
      </c>
      <c r="X23">
        <f t="shared" si="13"/>
        <v>9</v>
      </c>
      <c r="AE23" s="1">
        <v>2</v>
      </c>
      <c r="AT23">
        <v>2</v>
      </c>
      <c r="AU23">
        <v>5</v>
      </c>
      <c r="AV23" s="1">
        <f>(AE23-AE22-1)*AU22+AU23+AV22</f>
        <v>5</v>
      </c>
    </row>
    <row r="24" spans="2:48" x14ac:dyDescent="0.25">
      <c r="B24">
        <f t="shared" si="0"/>
        <v>22</v>
      </c>
      <c r="C24">
        <f t="shared" si="4"/>
        <v>217</v>
      </c>
      <c r="D24">
        <f t="shared" si="5"/>
        <v>15</v>
      </c>
      <c r="E24">
        <f t="shared" si="1"/>
        <v>7</v>
      </c>
      <c r="F24">
        <f t="shared" si="2"/>
        <v>13</v>
      </c>
      <c r="H24">
        <f>VLOOKUP(D24+1,nc,5,TRUE)</f>
        <v>12</v>
      </c>
      <c r="I24">
        <f>VLOOKUP(E24,nc,5,TRUE)</f>
        <v>9</v>
      </c>
      <c r="K24">
        <f t="shared" si="6"/>
        <v>14</v>
      </c>
      <c r="L24">
        <f>VLOOKUP(K24,nc,2,FALSE)</f>
        <v>118</v>
      </c>
      <c r="M24">
        <f t="shared" si="7"/>
        <v>8</v>
      </c>
      <c r="N24">
        <f>VLOOKUP(M24,nc,2,FALSE)</f>
        <v>54</v>
      </c>
      <c r="O24">
        <f t="shared" si="8"/>
        <v>218</v>
      </c>
      <c r="Q24">
        <f t="shared" si="9"/>
        <v>15</v>
      </c>
      <c r="R24">
        <f>VLOOKUP(Q24,nc,2,FALSE)</f>
        <v>130</v>
      </c>
      <c r="S24">
        <f t="shared" si="10"/>
        <v>7</v>
      </c>
      <c r="T24">
        <f>VLOOKUP(S24,nc,2,FALSE)</f>
        <v>44</v>
      </c>
      <c r="U24">
        <f t="shared" si="11"/>
        <v>217</v>
      </c>
      <c r="W24">
        <f t="shared" si="12"/>
        <v>10</v>
      </c>
      <c r="X24">
        <f t="shared" si="13"/>
        <v>9</v>
      </c>
      <c r="AE24" s="1">
        <v>3</v>
      </c>
      <c r="AT24">
        <v>3</v>
      </c>
      <c r="AU24">
        <v>6</v>
      </c>
      <c r="AV24" s="1">
        <f>(AE24-AE23-1)*AU23+AU24+AV23</f>
        <v>11</v>
      </c>
    </row>
    <row r="25" spans="2:48" x14ac:dyDescent="0.25">
      <c r="B25">
        <f t="shared" si="0"/>
        <v>23</v>
      </c>
      <c r="C25">
        <f t="shared" si="4"/>
        <v>230</v>
      </c>
      <c r="D25">
        <f t="shared" si="5"/>
        <v>16</v>
      </c>
      <c r="E25">
        <f t="shared" si="1"/>
        <v>7</v>
      </c>
      <c r="F25">
        <f t="shared" si="2"/>
        <v>13</v>
      </c>
      <c r="H25">
        <f>VLOOKUP(D25+1,nc,5,TRUE)</f>
        <v>12</v>
      </c>
      <c r="I25">
        <f>VLOOKUP(E25,nc,5,TRUE)</f>
        <v>9</v>
      </c>
      <c r="K25">
        <f t="shared" si="6"/>
        <v>15</v>
      </c>
      <c r="L25">
        <f>VLOOKUP(K25,nc,2,FALSE)</f>
        <v>130</v>
      </c>
      <c r="M25">
        <f t="shared" si="7"/>
        <v>8</v>
      </c>
      <c r="N25">
        <f>VLOOKUP(M25,nc,2,FALSE)</f>
        <v>54</v>
      </c>
      <c r="O25">
        <f t="shared" si="8"/>
        <v>231</v>
      </c>
      <c r="Q25">
        <f t="shared" si="9"/>
        <v>16</v>
      </c>
      <c r="R25">
        <f>VLOOKUP(Q25,nc,2,FALSE)</f>
        <v>142</v>
      </c>
      <c r="S25">
        <f t="shared" si="10"/>
        <v>7</v>
      </c>
      <c r="T25">
        <f>VLOOKUP(S25,nc,2,FALSE)</f>
        <v>44</v>
      </c>
      <c r="U25">
        <f t="shared" si="11"/>
        <v>230</v>
      </c>
      <c r="W25">
        <f t="shared" si="12"/>
        <v>10</v>
      </c>
      <c r="X25">
        <f t="shared" si="13"/>
        <v>9</v>
      </c>
      <c r="AE25" s="1">
        <v>4</v>
      </c>
      <c r="AT25">
        <v>4</v>
      </c>
      <c r="AU25">
        <v>7</v>
      </c>
      <c r="AV25" s="1">
        <f>(AE25-AE24-1)*AU24+AU25+AV24</f>
        <v>18</v>
      </c>
    </row>
    <row r="26" spans="2:48" x14ac:dyDescent="0.25">
      <c r="B26">
        <f t="shared" si="0"/>
        <v>24</v>
      </c>
      <c r="C26">
        <f t="shared" si="4"/>
        <v>243</v>
      </c>
      <c r="D26">
        <f t="shared" si="5"/>
        <v>17</v>
      </c>
      <c r="E26">
        <f t="shared" si="1"/>
        <v>7</v>
      </c>
      <c r="F26">
        <f t="shared" si="2"/>
        <v>13</v>
      </c>
      <c r="H26">
        <f>VLOOKUP(D26+1,nc,5,TRUE)</f>
        <v>12</v>
      </c>
      <c r="I26">
        <f>VLOOKUP(E26,nc,5,TRUE)</f>
        <v>9</v>
      </c>
      <c r="K26">
        <f t="shared" si="6"/>
        <v>16</v>
      </c>
      <c r="L26">
        <f>VLOOKUP(K26,nc,2,FALSE)</f>
        <v>142</v>
      </c>
      <c r="M26">
        <f t="shared" si="7"/>
        <v>8</v>
      </c>
      <c r="N26">
        <f>VLOOKUP(M26,nc,2,FALSE)</f>
        <v>54</v>
      </c>
      <c r="O26">
        <f t="shared" si="8"/>
        <v>244</v>
      </c>
      <c r="Q26">
        <f t="shared" si="9"/>
        <v>17</v>
      </c>
      <c r="R26">
        <f>VLOOKUP(Q26,nc,2,FALSE)</f>
        <v>154</v>
      </c>
      <c r="S26">
        <f t="shared" si="10"/>
        <v>7</v>
      </c>
      <c r="T26">
        <f>VLOOKUP(S26,nc,2,FALSE)</f>
        <v>44</v>
      </c>
      <c r="U26">
        <f t="shared" si="11"/>
        <v>243</v>
      </c>
      <c r="W26">
        <f t="shared" si="12"/>
        <v>10</v>
      </c>
      <c r="X26">
        <f t="shared" si="13"/>
        <v>9</v>
      </c>
      <c r="AE26" s="1">
        <v>5</v>
      </c>
      <c r="AT26">
        <v>5</v>
      </c>
      <c r="AU26">
        <v>8</v>
      </c>
      <c r="AV26" s="1">
        <f>(AE26-AE25-1)*AU25+AU26+AV25</f>
        <v>26</v>
      </c>
    </row>
    <row r="27" spans="2:48" x14ac:dyDescent="0.25">
      <c r="B27">
        <f t="shared" si="0"/>
        <v>25</v>
      </c>
      <c r="C27">
        <f t="shared" si="4"/>
        <v>256</v>
      </c>
      <c r="D27">
        <f t="shared" si="5"/>
        <v>18</v>
      </c>
      <c r="E27">
        <f t="shared" si="1"/>
        <v>7</v>
      </c>
      <c r="F27">
        <f t="shared" si="2"/>
        <v>13</v>
      </c>
      <c r="H27">
        <f>VLOOKUP(D27+1,nc,5,TRUE)</f>
        <v>12</v>
      </c>
      <c r="I27">
        <f>VLOOKUP(E27,nc,5,TRUE)</f>
        <v>9</v>
      </c>
      <c r="K27">
        <f t="shared" si="6"/>
        <v>17</v>
      </c>
      <c r="L27">
        <f>VLOOKUP(K27,nc,2,FALSE)</f>
        <v>154</v>
      </c>
      <c r="M27">
        <f t="shared" si="7"/>
        <v>8</v>
      </c>
      <c r="N27">
        <f>VLOOKUP(M27,nc,2,FALSE)</f>
        <v>54</v>
      </c>
      <c r="O27">
        <f t="shared" si="8"/>
        <v>257</v>
      </c>
      <c r="Q27">
        <f t="shared" si="9"/>
        <v>18</v>
      </c>
      <c r="R27">
        <f>VLOOKUP(Q27,nc,2,FALSE)</f>
        <v>166</v>
      </c>
      <c r="S27">
        <f t="shared" si="10"/>
        <v>7</v>
      </c>
      <c r="T27">
        <f>VLOOKUP(S27,nc,2,FALSE)</f>
        <v>44</v>
      </c>
      <c r="U27">
        <f t="shared" si="11"/>
        <v>256</v>
      </c>
      <c r="W27">
        <f t="shared" si="12"/>
        <v>10</v>
      </c>
      <c r="X27">
        <f t="shared" si="13"/>
        <v>9</v>
      </c>
      <c r="AE27" s="1">
        <v>6</v>
      </c>
      <c r="AT27">
        <v>6</v>
      </c>
      <c r="AU27">
        <v>9</v>
      </c>
      <c r="AV27" s="1">
        <f>(AE27-AE26-1)*AU26+AU27+AV26</f>
        <v>35</v>
      </c>
    </row>
    <row r="28" spans="2:48" x14ac:dyDescent="0.25">
      <c r="B28">
        <f t="shared" si="0"/>
        <v>26</v>
      </c>
      <c r="C28">
        <f t="shared" si="4"/>
        <v>269</v>
      </c>
      <c r="D28">
        <f t="shared" si="5"/>
        <v>19</v>
      </c>
      <c r="E28">
        <f t="shared" si="1"/>
        <v>7</v>
      </c>
      <c r="F28">
        <f t="shared" si="2"/>
        <v>13</v>
      </c>
      <c r="H28">
        <f>VLOOKUP(D28+1,nc,5,TRUE)</f>
        <v>13</v>
      </c>
      <c r="I28">
        <f>VLOOKUP(E28,nc,5,TRUE)</f>
        <v>9</v>
      </c>
      <c r="K28">
        <f t="shared" si="6"/>
        <v>18</v>
      </c>
      <c r="L28">
        <f>VLOOKUP(K28,nc,2,FALSE)</f>
        <v>166</v>
      </c>
      <c r="M28">
        <f t="shared" si="7"/>
        <v>8</v>
      </c>
      <c r="N28">
        <f>VLOOKUP(M28,nc,2,FALSE)</f>
        <v>54</v>
      </c>
      <c r="O28">
        <f t="shared" si="8"/>
        <v>270</v>
      </c>
      <c r="Q28">
        <f t="shared" si="9"/>
        <v>19</v>
      </c>
      <c r="R28">
        <f>VLOOKUP(Q28,nc,2,FALSE)</f>
        <v>178</v>
      </c>
      <c r="S28">
        <f t="shared" si="10"/>
        <v>7</v>
      </c>
      <c r="T28">
        <f>VLOOKUP(S28,nc,2,FALSE)</f>
        <v>44</v>
      </c>
      <c r="U28">
        <f t="shared" si="11"/>
        <v>269</v>
      </c>
      <c r="W28">
        <f t="shared" si="12"/>
        <v>10</v>
      </c>
      <c r="X28">
        <f t="shared" si="13"/>
        <v>9</v>
      </c>
      <c r="AE28" s="4">
        <v>8</v>
      </c>
      <c r="AF28" t="s">
        <v>2</v>
      </c>
      <c r="AG28">
        <f>AE28-AH28</f>
        <v>5</v>
      </c>
      <c r="AH28" s="5">
        <v>3</v>
      </c>
      <c r="AJ28">
        <f>INDEX($AU$22:$AU27,MATCH(AG28+1,$AT$22:$AT27,1))</f>
        <v>9</v>
      </c>
      <c r="AK28">
        <f t="shared" ref="AK28:AK90" si="14">AJ28-2</f>
        <v>7</v>
      </c>
      <c r="AL28">
        <f>INDEX($AT$22:$AT27,MATCH(AK28,$AU$22:$AU27,1))</f>
        <v>4</v>
      </c>
      <c r="AM28">
        <f t="shared" ref="AM28" si="15">AG28+AL28</f>
        <v>9</v>
      </c>
      <c r="AT28">
        <f>AE28</f>
        <v>8</v>
      </c>
      <c r="AU28" s="5">
        <v>10</v>
      </c>
      <c r="AV28" s="1">
        <f>(AE28-AE27-1)*AU27+AU28+AV27</f>
        <v>54</v>
      </c>
    </row>
    <row r="29" spans="2:48" x14ac:dyDescent="0.25">
      <c r="B29">
        <f t="shared" si="0"/>
        <v>27</v>
      </c>
      <c r="C29">
        <f t="shared" si="4"/>
        <v>283</v>
      </c>
      <c r="D29">
        <f t="shared" si="5"/>
        <v>19</v>
      </c>
      <c r="E29">
        <f t="shared" si="1"/>
        <v>8</v>
      </c>
      <c r="F29">
        <f t="shared" si="2"/>
        <v>14</v>
      </c>
      <c r="H29">
        <f>VLOOKUP(D29+1,nc,5,TRUE)</f>
        <v>13</v>
      </c>
      <c r="I29">
        <f>VLOOKUP(E29,nc,5,TRUE)</f>
        <v>10</v>
      </c>
      <c r="K29">
        <f t="shared" si="6"/>
        <v>19</v>
      </c>
      <c r="L29">
        <f>VLOOKUP(K29,nc,2,FALSE)</f>
        <v>178</v>
      </c>
      <c r="M29">
        <f t="shared" si="7"/>
        <v>8</v>
      </c>
      <c r="N29">
        <f>VLOOKUP(M29,nc,2,FALSE)</f>
        <v>54</v>
      </c>
      <c r="O29">
        <f t="shared" si="8"/>
        <v>283</v>
      </c>
      <c r="Q29">
        <f t="shared" si="9"/>
        <v>20</v>
      </c>
      <c r="R29">
        <f>VLOOKUP(Q29,nc,2,FALSE)</f>
        <v>191</v>
      </c>
      <c r="S29">
        <f t="shared" si="10"/>
        <v>7</v>
      </c>
      <c r="T29">
        <f>VLOOKUP(S29,nc,2,FALSE)</f>
        <v>44</v>
      </c>
      <c r="U29">
        <f t="shared" si="11"/>
        <v>283</v>
      </c>
      <c r="W29">
        <f t="shared" si="12"/>
        <v>10</v>
      </c>
      <c r="X29">
        <f t="shared" si="13"/>
        <v>10</v>
      </c>
      <c r="AE29" s="1">
        <f>AM28</f>
        <v>9</v>
      </c>
      <c r="AF29" t="s">
        <v>3</v>
      </c>
      <c r="AG29">
        <f>AG28+1</f>
        <v>6</v>
      </c>
      <c r="AH29">
        <f>AE29-AG29</f>
        <v>3</v>
      </c>
      <c r="AO29">
        <f>INDEX($AU$22:$AU28,MATCH(AH29+1,$AT$22:$AT28,1))</f>
        <v>7</v>
      </c>
      <c r="AP29">
        <f t="shared" ref="AP29:AP91" si="16">AO29+3</f>
        <v>10</v>
      </c>
      <c r="AQ29">
        <f>INDEX($AT$22:$AT28,MATCH(AP29,$AU$22:$AU28,1))</f>
        <v>8</v>
      </c>
      <c r="AR29">
        <f t="shared" ref="AR29" si="17">AQ29+AH29</f>
        <v>11</v>
      </c>
      <c r="AT29">
        <f>AT28</f>
        <v>8</v>
      </c>
      <c r="AU29">
        <f>AU28</f>
        <v>10</v>
      </c>
      <c r="AV29" s="1">
        <f>(AE29-AE28-1)*AU28+AU29+AV28</f>
        <v>64</v>
      </c>
    </row>
    <row r="30" spans="2:48" x14ac:dyDescent="0.25">
      <c r="B30">
        <f t="shared" si="0"/>
        <v>28</v>
      </c>
      <c r="C30">
        <f t="shared" si="4"/>
        <v>297</v>
      </c>
      <c r="D30">
        <f t="shared" si="5"/>
        <v>19</v>
      </c>
      <c r="E30">
        <f t="shared" si="1"/>
        <v>9</v>
      </c>
      <c r="F30">
        <f t="shared" si="2"/>
        <v>14</v>
      </c>
      <c r="H30">
        <f>VLOOKUP(D30+1,nc,5,TRUE)</f>
        <v>13</v>
      </c>
      <c r="I30">
        <f>VLOOKUP(E30,nc,5,TRUE)</f>
        <v>10</v>
      </c>
      <c r="K30">
        <f t="shared" si="6"/>
        <v>19</v>
      </c>
      <c r="L30">
        <f>VLOOKUP(K30,nc,2,FALSE)</f>
        <v>178</v>
      </c>
      <c r="M30">
        <f t="shared" si="7"/>
        <v>9</v>
      </c>
      <c r="N30">
        <f>VLOOKUP(M30,nc,2,FALSE)</f>
        <v>64</v>
      </c>
      <c r="O30">
        <f t="shared" si="8"/>
        <v>297</v>
      </c>
      <c r="Q30">
        <f t="shared" si="9"/>
        <v>20</v>
      </c>
      <c r="R30">
        <f>VLOOKUP(Q30,nc,2,FALSE)</f>
        <v>191</v>
      </c>
      <c r="S30">
        <f t="shared" si="10"/>
        <v>8</v>
      </c>
      <c r="T30">
        <f>VLOOKUP(S30,nc,2,FALSE)</f>
        <v>54</v>
      </c>
      <c r="U30">
        <f t="shared" si="11"/>
        <v>297</v>
      </c>
      <c r="W30">
        <f t="shared" si="12"/>
        <v>10</v>
      </c>
      <c r="X30">
        <f t="shared" si="13"/>
        <v>10</v>
      </c>
      <c r="AE30" s="1">
        <f>AR29</f>
        <v>11</v>
      </c>
      <c r="AF30" t="s">
        <v>2</v>
      </c>
      <c r="AG30">
        <f>AE30-AH30</f>
        <v>7</v>
      </c>
      <c r="AH30">
        <f>AH29+1</f>
        <v>4</v>
      </c>
      <c r="AJ30">
        <f>INDEX($AU$22:$AU29,MATCH(AG30+1,$AT$22:$AT29,1))</f>
        <v>10</v>
      </c>
      <c r="AK30">
        <f t="shared" si="14"/>
        <v>8</v>
      </c>
      <c r="AL30">
        <f>INDEX($AT$22:$AT29,MATCH(AK30,$AU$22:$AU29,1))</f>
        <v>5</v>
      </c>
      <c r="AM30">
        <f t="shared" ref="AM30" si="18">AG30+AL30</f>
        <v>12</v>
      </c>
      <c r="AT30">
        <f>AE30</f>
        <v>11</v>
      </c>
      <c r="AU30">
        <f>AU29+1</f>
        <v>11</v>
      </c>
      <c r="AV30" s="1">
        <f>(AE30-AE29-1)*AU29+AU30+AV29</f>
        <v>85</v>
      </c>
    </row>
    <row r="31" spans="2:48" x14ac:dyDescent="0.25">
      <c r="B31">
        <f t="shared" si="0"/>
        <v>29</v>
      </c>
      <c r="C31">
        <f t="shared" si="4"/>
        <v>311</v>
      </c>
      <c r="D31">
        <f t="shared" si="5"/>
        <v>19</v>
      </c>
      <c r="E31">
        <f t="shared" si="1"/>
        <v>10</v>
      </c>
      <c r="F31">
        <f t="shared" si="2"/>
        <v>14</v>
      </c>
      <c r="H31">
        <f>VLOOKUP(D31+1,nc,5,TRUE)</f>
        <v>13</v>
      </c>
      <c r="I31">
        <f>VLOOKUP(E31,nc,5,TRUE)</f>
        <v>10</v>
      </c>
      <c r="K31">
        <f t="shared" si="6"/>
        <v>19</v>
      </c>
      <c r="L31">
        <f>VLOOKUP(K31,nc,2,FALSE)</f>
        <v>178</v>
      </c>
      <c r="M31">
        <f t="shared" si="7"/>
        <v>10</v>
      </c>
      <c r="N31">
        <f>VLOOKUP(M31,nc,2,FALSE)</f>
        <v>74</v>
      </c>
      <c r="O31">
        <f t="shared" si="8"/>
        <v>311</v>
      </c>
      <c r="Q31">
        <f t="shared" si="9"/>
        <v>20</v>
      </c>
      <c r="R31">
        <f>VLOOKUP(Q31,nc,2,FALSE)</f>
        <v>191</v>
      </c>
      <c r="S31">
        <f t="shared" si="10"/>
        <v>9</v>
      </c>
      <c r="T31">
        <f>VLOOKUP(S31,nc,2,FALSE)</f>
        <v>64</v>
      </c>
      <c r="U31">
        <f t="shared" si="11"/>
        <v>311</v>
      </c>
      <c r="W31">
        <f t="shared" si="12"/>
        <v>10</v>
      </c>
      <c r="X31">
        <f t="shared" si="13"/>
        <v>10</v>
      </c>
      <c r="AE31" s="1">
        <f>AM30</f>
        <v>12</v>
      </c>
      <c r="AF31" t="s">
        <v>3</v>
      </c>
      <c r="AG31">
        <f>AG30+1</f>
        <v>8</v>
      </c>
      <c r="AH31">
        <f>AE31-AG31</f>
        <v>4</v>
      </c>
      <c r="AO31">
        <f>INDEX($AU$22:$AU30,MATCH(AH31+1,$AT$22:$AT30,1))</f>
        <v>8</v>
      </c>
      <c r="AP31">
        <f t="shared" si="16"/>
        <v>11</v>
      </c>
      <c r="AQ31">
        <f>INDEX($AT$22:$AT30,MATCH(AP31,$AU$22:$AU30,1))</f>
        <v>11</v>
      </c>
      <c r="AR31">
        <f t="shared" ref="AR31" si="19">AQ31+AH31</f>
        <v>15</v>
      </c>
      <c r="AT31">
        <f>AT30</f>
        <v>11</v>
      </c>
      <c r="AU31">
        <f>AU30</f>
        <v>11</v>
      </c>
      <c r="AV31" s="1">
        <f>(AE31-AE30-1)*AU30+AU31+AV30</f>
        <v>96</v>
      </c>
    </row>
    <row r="32" spans="2:48" x14ac:dyDescent="0.25">
      <c r="B32">
        <f t="shared" si="0"/>
        <v>30</v>
      </c>
      <c r="C32">
        <f t="shared" si="4"/>
        <v>325</v>
      </c>
      <c r="D32">
        <f t="shared" si="5"/>
        <v>20</v>
      </c>
      <c r="E32">
        <f t="shared" si="1"/>
        <v>10</v>
      </c>
      <c r="F32">
        <f t="shared" si="2"/>
        <v>14</v>
      </c>
      <c r="H32">
        <f>VLOOKUP(D32+1,nc,5,TRUE)</f>
        <v>13</v>
      </c>
      <c r="I32">
        <f>VLOOKUP(E32,nc,5,TRUE)</f>
        <v>10</v>
      </c>
      <c r="K32">
        <f t="shared" si="6"/>
        <v>19</v>
      </c>
      <c r="L32">
        <f>VLOOKUP(K32,nc,2,FALSE)</f>
        <v>178</v>
      </c>
      <c r="M32">
        <f t="shared" si="7"/>
        <v>11</v>
      </c>
      <c r="N32">
        <f>VLOOKUP(M32,nc,2,FALSE)</f>
        <v>85</v>
      </c>
      <c r="O32">
        <f t="shared" si="8"/>
        <v>326</v>
      </c>
      <c r="Q32">
        <f t="shared" si="9"/>
        <v>20</v>
      </c>
      <c r="R32">
        <f>VLOOKUP(Q32,nc,2,FALSE)</f>
        <v>191</v>
      </c>
      <c r="S32">
        <f t="shared" si="10"/>
        <v>10</v>
      </c>
      <c r="T32">
        <f>VLOOKUP(S32,nc,2,FALSE)</f>
        <v>74</v>
      </c>
      <c r="U32">
        <f t="shared" si="11"/>
        <v>325</v>
      </c>
      <c r="W32">
        <f t="shared" si="12"/>
        <v>11</v>
      </c>
      <c r="X32">
        <f t="shared" si="13"/>
        <v>10</v>
      </c>
      <c r="AE32" s="1">
        <f>AR31</f>
        <v>15</v>
      </c>
      <c r="AF32" t="s">
        <v>2</v>
      </c>
      <c r="AG32">
        <f>AE32-AH32</f>
        <v>10</v>
      </c>
      <c r="AH32">
        <f>AH31+1</f>
        <v>5</v>
      </c>
      <c r="AJ32">
        <f>INDEX($AU$22:$AU31,MATCH(AG32+1,$AT$22:$AT31,1))</f>
        <v>11</v>
      </c>
      <c r="AK32">
        <f t="shared" si="14"/>
        <v>9</v>
      </c>
      <c r="AL32">
        <f>INDEX($AT$22:$AT31,MATCH(AK32,$AU$22:$AU31,1))</f>
        <v>6</v>
      </c>
      <c r="AM32">
        <f t="shared" ref="AM32" si="20">AG32+AL32</f>
        <v>16</v>
      </c>
      <c r="AT32">
        <f>AE32</f>
        <v>15</v>
      </c>
      <c r="AU32">
        <f>AU31+1</f>
        <v>12</v>
      </c>
      <c r="AV32" s="1">
        <f>(AE32-AE31-1)*AU31+AU32+AV31</f>
        <v>130</v>
      </c>
    </row>
    <row r="33" spans="2:48" x14ac:dyDescent="0.25">
      <c r="B33">
        <f t="shared" si="0"/>
        <v>31</v>
      </c>
      <c r="C33">
        <f t="shared" si="4"/>
        <v>339</v>
      </c>
      <c r="D33">
        <f t="shared" si="5"/>
        <v>21</v>
      </c>
      <c r="E33">
        <f t="shared" si="1"/>
        <v>10</v>
      </c>
      <c r="F33">
        <f t="shared" si="2"/>
        <v>14</v>
      </c>
      <c r="H33">
        <f>VLOOKUP(D33+1,nc,5,TRUE)</f>
        <v>13</v>
      </c>
      <c r="I33">
        <f>VLOOKUP(E33,nc,5,TRUE)</f>
        <v>10</v>
      </c>
      <c r="K33">
        <f t="shared" si="6"/>
        <v>20</v>
      </c>
      <c r="L33">
        <f>VLOOKUP(K33,nc,2,FALSE)</f>
        <v>191</v>
      </c>
      <c r="M33">
        <f t="shared" si="7"/>
        <v>11</v>
      </c>
      <c r="N33">
        <f>VLOOKUP(M33,nc,2,FALSE)</f>
        <v>85</v>
      </c>
      <c r="O33">
        <f t="shared" si="8"/>
        <v>340</v>
      </c>
      <c r="Q33">
        <f t="shared" si="9"/>
        <v>21</v>
      </c>
      <c r="R33">
        <f>VLOOKUP(Q33,nc,2,FALSE)</f>
        <v>204</v>
      </c>
      <c r="S33">
        <f t="shared" si="10"/>
        <v>10</v>
      </c>
      <c r="T33">
        <f>VLOOKUP(S33,nc,2,FALSE)</f>
        <v>74</v>
      </c>
      <c r="U33">
        <f t="shared" si="11"/>
        <v>339</v>
      </c>
      <c r="W33">
        <f t="shared" si="12"/>
        <v>11</v>
      </c>
      <c r="X33">
        <f t="shared" si="13"/>
        <v>10</v>
      </c>
      <c r="AE33" s="1">
        <f>AM32</f>
        <v>16</v>
      </c>
      <c r="AF33" t="s">
        <v>3</v>
      </c>
      <c r="AG33">
        <f>AG32+1</f>
        <v>11</v>
      </c>
      <c r="AH33">
        <f>AE33-AG33</f>
        <v>5</v>
      </c>
      <c r="AO33">
        <f>INDEX($AU$22:$AU32,MATCH(AH33+1,$AT$22:$AT32,1))</f>
        <v>9</v>
      </c>
      <c r="AP33">
        <f t="shared" si="16"/>
        <v>12</v>
      </c>
      <c r="AQ33">
        <f>INDEX($AT$22:$AT32,MATCH(AP33,$AU$22:$AU32,1))</f>
        <v>15</v>
      </c>
      <c r="AR33">
        <f t="shared" ref="AR33" si="21">AQ33+AH33</f>
        <v>20</v>
      </c>
      <c r="AT33">
        <f>AT32</f>
        <v>15</v>
      </c>
      <c r="AU33">
        <f>AU32</f>
        <v>12</v>
      </c>
      <c r="AV33" s="1">
        <f>(AE33-AE32-1)*AU32+AU33+AV32</f>
        <v>142</v>
      </c>
    </row>
    <row r="34" spans="2:48" x14ac:dyDescent="0.25">
      <c r="B34">
        <f t="shared" si="0"/>
        <v>32</v>
      </c>
      <c r="C34">
        <f t="shared" si="4"/>
        <v>353</v>
      </c>
      <c r="D34">
        <f t="shared" si="5"/>
        <v>22</v>
      </c>
      <c r="E34">
        <f t="shared" si="1"/>
        <v>10</v>
      </c>
      <c r="F34">
        <f t="shared" si="2"/>
        <v>14</v>
      </c>
      <c r="H34">
        <f>VLOOKUP(D34+1,nc,5,TRUE)</f>
        <v>13</v>
      </c>
      <c r="I34">
        <f>VLOOKUP(E34,nc,5,TRUE)</f>
        <v>10</v>
      </c>
      <c r="K34">
        <f t="shared" si="6"/>
        <v>21</v>
      </c>
      <c r="L34">
        <f>VLOOKUP(K34,nc,2,FALSE)</f>
        <v>204</v>
      </c>
      <c r="M34">
        <f t="shared" si="7"/>
        <v>11</v>
      </c>
      <c r="N34">
        <f>VLOOKUP(M34,nc,2,FALSE)</f>
        <v>85</v>
      </c>
      <c r="O34">
        <f t="shared" si="8"/>
        <v>354</v>
      </c>
      <c r="Q34">
        <f t="shared" si="9"/>
        <v>22</v>
      </c>
      <c r="R34">
        <f>VLOOKUP(Q34,nc,2,FALSE)</f>
        <v>217</v>
      </c>
      <c r="S34">
        <f t="shared" si="10"/>
        <v>10</v>
      </c>
      <c r="T34">
        <f>VLOOKUP(S34,nc,2,FALSE)</f>
        <v>74</v>
      </c>
      <c r="U34">
        <f t="shared" si="11"/>
        <v>353</v>
      </c>
      <c r="W34">
        <f t="shared" si="12"/>
        <v>11</v>
      </c>
      <c r="X34">
        <f t="shared" si="13"/>
        <v>10</v>
      </c>
      <c r="AE34" s="1">
        <f>AR33</f>
        <v>20</v>
      </c>
      <c r="AF34" t="s">
        <v>2</v>
      </c>
      <c r="AG34">
        <f>AE34-AH34</f>
        <v>14</v>
      </c>
      <c r="AH34">
        <f>AH33+1</f>
        <v>6</v>
      </c>
      <c r="AJ34">
        <f>INDEX($AU$22:$AU33,MATCH(AG34+1,$AT$22:$AT33,1))</f>
        <v>12</v>
      </c>
      <c r="AK34">
        <f t="shared" si="14"/>
        <v>10</v>
      </c>
      <c r="AL34">
        <f>INDEX($AT$22:$AT33,MATCH(AK34,$AU$22:$AU33,1))</f>
        <v>8</v>
      </c>
      <c r="AM34">
        <f t="shared" ref="AM34" si="22">AG34+AL34</f>
        <v>22</v>
      </c>
      <c r="AT34">
        <f>AE34</f>
        <v>20</v>
      </c>
      <c r="AU34">
        <f>AU33+1</f>
        <v>13</v>
      </c>
      <c r="AV34" s="1">
        <f>(AE34-AE33-1)*AU33+AU34+AV33</f>
        <v>191</v>
      </c>
    </row>
    <row r="35" spans="2:48" x14ac:dyDescent="0.25">
      <c r="B35">
        <f t="shared" si="0"/>
        <v>33</v>
      </c>
      <c r="C35">
        <f t="shared" si="4"/>
        <v>367</v>
      </c>
      <c r="D35">
        <f t="shared" si="5"/>
        <v>23</v>
      </c>
      <c r="E35">
        <f t="shared" si="1"/>
        <v>10</v>
      </c>
      <c r="F35">
        <f t="shared" si="2"/>
        <v>14</v>
      </c>
      <c r="H35">
        <f>VLOOKUP(D35+1,nc,5,TRUE)</f>
        <v>13</v>
      </c>
      <c r="I35">
        <f>VLOOKUP(E35,nc,5,TRUE)</f>
        <v>10</v>
      </c>
      <c r="K35">
        <f t="shared" si="6"/>
        <v>22</v>
      </c>
      <c r="L35">
        <f>VLOOKUP(K35,nc,2,FALSE)</f>
        <v>217</v>
      </c>
      <c r="M35">
        <f t="shared" si="7"/>
        <v>11</v>
      </c>
      <c r="N35">
        <f>VLOOKUP(M35,nc,2,FALSE)</f>
        <v>85</v>
      </c>
      <c r="O35">
        <f t="shared" si="8"/>
        <v>368</v>
      </c>
      <c r="Q35">
        <f t="shared" si="9"/>
        <v>23</v>
      </c>
      <c r="R35">
        <f>VLOOKUP(Q35,nc,2,FALSE)</f>
        <v>230</v>
      </c>
      <c r="S35">
        <f t="shared" si="10"/>
        <v>10</v>
      </c>
      <c r="T35">
        <f>VLOOKUP(S35,nc,2,FALSE)</f>
        <v>74</v>
      </c>
      <c r="U35">
        <f t="shared" si="11"/>
        <v>367</v>
      </c>
      <c r="W35">
        <f t="shared" si="12"/>
        <v>11</v>
      </c>
      <c r="X35">
        <f t="shared" si="13"/>
        <v>10</v>
      </c>
      <c r="AE35" s="1">
        <f>AM34</f>
        <v>22</v>
      </c>
      <c r="AF35" t="s">
        <v>3</v>
      </c>
      <c r="AG35">
        <f>AG34+1</f>
        <v>15</v>
      </c>
      <c r="AH35">
        <f>AE35-AG35</f>
        <v>7</v>
      </c>
      <c r="AO35">
        <f>INDEX($AU$22:$AU34,MATCH(AH35+1,$AT$22:$AT34,1))</f>
        <v>10</v>
      </c>
      <c r="AP35">
        <f t="shared" si="16"/>
        <v>13</v>
      </c>
      <c r="AQ35">
        <f>INDEX($AT$22:$AT34,MATCH(AP35,$AU$22:$AU34,1))</f>
        <v>20</v>
      </c>
      <c r="AR35">
        <f t="shared" ref="AR35" si="23">AQ35+AH35</f>
        <v>27</v>
      </c>
      <c r="AT35">
        <f>AT34</f>
        <v>20</v>
      </c>
      <c r="AU35">
        <f>AU34</f>
        <v>13</v>
      </c>
      <c r="AV35" s="1">
        <f>(AE35-AE34-1)*AU34+AU35+AV34</f>
        <v>217</v>
      </c>
    </row>
    <row r="36" spans="2:48" x14ac:dyDescent="0.25">
      <c r="B36">
        <f t="shared" si="0"/>
        <v>34</v>
      </c>
      <c r="C36">
        <f t="shared" si="4"/>
        <v>381</v>
      </c>
      <c r="D36">
        <f t="shared" si="5"/>
        <v>24</v>
      </c>
      <c r="E36">
        <f t="shared" si="1"/>
        <v>10</v>
      </c>
      <c r="F36">
        <f t="shared" si="2"/>
        <v>14</v>
      </c>
      <c r="H36">
        <f>VLOOKUP(D36+1,nc,5,TRUE)</f>
        <v>13</v>
      </c>
      <c r="I36">
        <f>VLOOKUP(E36,nc,5,TRUE)</f>
        <v>10</v>
      </c>
      <c r="K36">
        <f t="shared" si="6"/>
        <v>23</v>
      </c>
      <c r="L36">
        <f>VLOOKUP(K36,nc,2,FALSE)</f>
        <v>230</v>
      </c>
      <c r="M36">
        <f t="shared" si="7"/>
        <v>11</v>
      </c>
      <c r="N36">
        <f>VLOOKUP(M36,nc,2,FALSE)</f>
        <v>85</v>
      </c>
      <c r="O36">
        <f t="shared" si="8"/>
        <v>382</v>
      </c>
      <c r="Q36">
        <f t="shared" si="9"/>
        <v>24</v>
      </c>
      <c r="R36">
        <f>VLOOKUP(Q36,nc,2,FALSE)</f>
        <v>243</v>
      </c>
      <c r="S36">
        <f t="shared" si="10"/>
        <v>10</v>
      </c>
      <c r="T36">
        <f>VLOOKUP(S36,nc,2,FALSE)</f>
        <v>74</v>
      </c>
      <c r="U36">
        <f t="shared" si="11"/>
        <v>381</v>
      </c>
      <c r="W36">
        <f t="shared" si="12"/>
        <v>11</v>
      </c>
      <c r="X36">
        <f t="shared" si="13"/>
        <v>10</v>
      </c>
      <c r="AE36" s="1">
        <f>AR35</f>
        <v>27</v>
      </c>
      <c r="AF36" t="s">
        <v>2</v>
      </c>
      <c r="AG36">
        <f>AE36-AH36</f>
        <v>19</v>
      </c>
      <c r="AH36">
        <f>AH35+1</f>
        <v>8</v>
      </c>
      <c r="AJ36">
        <f>INDEX($AU$22:$AU35,MATCH(AG36+1,$AT$22:$AT35,1))</f>
        <v>13</v>
      </c>
      <c r="AK36">
        <f t="shared" si="14"/>
        <v>11</v>
      </c>
      <c r="AL36">
        <f>INDEX($AT$22:$AT35,MATCH(AK36,$AU$22:$AU35,1))</f>
        <v>11</v>
      </c>
      <c r="AM36">
        <f t="shared" ref="AM36" si="24">AG36+AL36</f>
        <v>30</v>
      </c>
      <c r="AT36">
        <f>AE36</f>
        <v>27</v>
      </c>
      <c r="AU36">
        <f>AU35+1</f>
        <v>14</v>
      </c>
      <c r="AV36" s="1">
        <f>(AE36-AE35-1)*AU35+AU36+AV35</f>
        <v>283</v>
      </c>
    </row>
    <row r="37" spans="2:48" x14ac:dyDescent="0.25">
      <c r="B37">
        <f t="shared" si="0"/>
        <v>35</v>
      </c>
      <c r="C37">
        <f t="shared" si="4"/>
        <v>395</v>
      </c>
      <c r="D37">
        <f t="shared" si="5"/>
        <v>25</v>
      </c>
      <c r="E37">
        <f t="shared" si="1"/>
        <v>10</v>
      </c>
      <c r="F37">
        <f t="shared" si="2"/>
        <v>14</v>
      </c>
      <c r="H37">
        <f>VLOOKUP(D37+1,nc,5,TRUE)</f>
        <v>13</v>
      </c>
      <c r="I37">
        <f>VLOOKUP(E37,nc,5,TRUE)</f>
        <v>10</v>
      </c>
      <c r="K37">
        <f t="shared" si="6"/>
        <v>24</v>
      </c>
      <c r="L37">
        <f>VLOOKUP(K37,nc,2,FALSE)</f>
        <v>243</v>
      </c>
      <c r="M37">
        <f t="shared" si="7"/>
        <v>11</v>
      </c>
      <c r="N37">
        <f>VLOOKUP(M37,nc,2,FALSE)</f>
        <v>85</v>
      </c>
      <c r="O37">
        <f t="shared" si="8"/>
        <v>396</v>
      </c>
      <c r="Q37">
        <f t="shared" si="9"/>
        <v>25</v>
      </c>
      <c r="R37">
        <f>VLOOKUP(Q37,nc,2,FALSE)</f>
        <v>256</v>
      </c>
      <c r="S37">
        <f t="shared" si="10"/>
        <v>10</v>
      </c>
      <c r="T37">
        <f>VLOOKUP(S37,nc,2,FALSE)</f>
        <v>74</v>
      </c>
      <c r="U37">
        <f t="shared" si="11"/>
        <v>395</v>
      </c>
      <c r="W37">
        <f t="shared" si="12"/>
        <v>11</v>
      </c>
      <c r="X37">
        <f t="shared" si="13"/>
        <v>10</v>
      </c>
      <c r="AE37" s="1">
        <f>AM36</f>
        <v>30</v>
      </c>
      <c r="AF37" t="s">
        <v>3</v>
      </c>
      <c r="AG37">
        <f>AG36+1</f>
        <v>20</v>
      </c>
      <c r="AH37">
        <f>AE37-AG37</f>
        <v>10</v>
      </c>
      <c r="AO37">
        <f>INDEX($AU$22:$AU36,MATCH(AH37+1,$AT$22:$AT36,1))</f>
        <v>11</v>
      </c>
      <c r="AP37">
        <f t="shared" si="16"/>
        <v>14</v>
      </c>
      <c r="AQ37">
        <f>INDEX($AT$22:$AT36,MATCH(AP37,$AU$22:$AU36,1))</f>
        <v>27</v>
      </c>
      <c r="AR37">
        <f t="shared" ref="AR37" si="25">AQ37+AH37</f>
        <v>37</v>
      </c>
      <c r="AT37">
        <f>AT36</f>
        <v>27</v>
      </c>
      <c r="AU37">
        <f>AU36</f>
        <v>14</v>
      </c>
      <c r="AV37" s="1">
        <f>(AE37-AE36-1)*AU36+AU37+AV36</f>
        <v>325</v>
      </c>
    </row>
    <row r="38" spans="2:48" x14ac:dyDescent="0.25">
      <c r="B38" s="3">
        <f t="shared" si="0"/>
        <v>36</v>
      </c>
      <c r="C38" s="3">
        <f t="shared" si="4"/>
        <v>409</v>
      </c>
      <c r="D38" s="3">
        <f t="shared" si="5"/>
        <v>26</v>
      </c>
      <c r="E38" s="3">
        <f t="shared" si="1"/>
        <v>10</v>
      </c>
      <c r="F38" s="3">
        <f t="shared" si="2"/>
        <v>14</v>
      </c>
      <c r="G38" s="3"/>
      <c r="H38" s="3">
        <f>VLOOKUP(D38+1,nc,5,TRUE)</f>
        <v>14</v>
      </c>
      <c r="I38" s="3">
        <f>VLOOKUP(E38,nc,5,TRUE)</f>
        <v>10</v>
      </c>
      <c r="J38" s="3"/>
      <c r="K38" s="3">
        <f t="shared" si="6"/>
        <v>25</v>
      </c>
      <c r="L38" s="3">
        <f>VLOOKUP(K38,nc,2,FALSE)</f>
        <v>256</v>
      </c>
      <c r="M38" s="3">
        <f t="shared" si="7"/>
        <v>11</v>
      </c>
      <c r="N38" s="3">
        <f>VLOOKUP(M38,nc,2,FALSE)</f>
        <v>85</v>
      </c>
      <c r="O38" s="3">
        <f t="shared" si="8"/>
        <v>410</v>
      </c>
      <c r="P38" s="3"/>
      <c r="Q38" s="3">
        <f t="shared" si="9"/>
        <v>26</v>
      </c>
      <c r="R38" s="3">
        <f>VLOOKUP(Q38,nc,2,FALSE)</f>
        <v>269</v>
      </c>
      <c r="S38" s="3">
        <f t="shared" si="10"/>
        <v>10</v>
      </c>
      <c r="T38" s="3">
        <f>VLOOKUP(S38,nc,2,FALSE)</f>
        <v>74</v>
      </c>
      <c r="U38" s="3">
        <f t="shared" si="11"/>
        <v>409</v>
      </c>
      <c r="V38" s="3"/>
      <c r="W38" s="3">
        <f t="shared" si="12"/>
        <v>11</v>
      </c>
      <c r="X38" s="3">
        <f t="shared" si="13"/>
        <v>10</v>
      </c>
      <c r="AE38" s="1">
        <f>AR37</f>
        <v>37</v>
      </c>
      <c r="AF38" t="s">
        <v>2</v>
      </c>
      <c r="AG38">
        <f>AE38-AH38</f>
        <v>26</v>
      </c>
      <c r="AH38">
        <f>AH37+1</f>
        <v>11</v>
      </c>
      <c r="AJ38">
        <f>INDEX($AU$22:$AU37,MATCH(AG38+1,$AT$22:$AT37,1))</f>
        <v>14</v>
      </c>
      <c r="AK38">
        <f t="shared" si="14"/>
        <v>12</v>
      </c>
      <c r="AL38">
        <f>INDEX($AT$22:$AT37,MATCH(AK38,$AU$22:$AU37,1))</f>
        <v>15</v>
      </c>
      <c r="AM38">
        <f t="shared" ref="AM38" si="26">AG38+AL38</f>
        <v>41</v>
      </c>
      <c r="AT38">
        <f>AE38</f>
        <v>37</v>
      </c>
      <c r="AU38">
        <f>AU37+1</f>
        <v>15</v>
      </c>
      <c r="AV38" s="1">
        <f>(AE38-AE37-1)*AU37+AU38+AV37</f>
        <v>424</v>
      </c>
    </row>
    <row r="39" spans="2:48" x14ac:dyDescent="0.25">
      <c r="B39" s="2">
        <f t="shared" si="0"/>
        <v>37</v>
      </c>
      <c r="C39" s="2">
        <f t="shared" si="4"/>
        <v>424</v>
      </c>
      <c r="D39" s="2">
        <f t="shared" si="5"/>
        <v>26</v>
      </c>
      <c r="E39" s="2">
        <f t="shared" si="1"/>
        <v>11</v>
      </c>
      <c r="F39" s="2">
        <f t="shared" si="2"/>
        <v>15</v>
      </c>
      <c r="G39" s="2"/>
      <c r="H39" s="2">
        <f>VLOOKUP(D39+1,nc,5,TRUE)</f>
        <v>14</v>
      </c>
      <c r="I39" s="2">
        <f>VLOOKUP(E39,nc,5,TRUE)</f>
        <v>11</v>
      </c>
      <c r="J39" s="2"/>
      <c r="K39" s="2">
        <f t="shared" si="6"/>
        <v>26</v>
      </c>
      <c r="L39" s="2">
        <f>VLOOKUP(K39,nc,2,FALSE)</f>
        <v>269</v>
      </c>
      <c r="M39" s="2">
        <f t="shared" si="7"/>
        <v>11</v>
      </c>
      <c r="N39" s="2">
        <f>VLOOKUP(M39,nc,2,FALSE)</f>
        <v>85</v>
      </c>
      <c r="O39" s="2">
        <f t="shared" si="8"/>
        <v>424</v>
      </c>
      <c r="P39" s="2"/>
      <c r="Q39" s="2">
        <f t="shared" si="9"/>
        <v>27</v>
      </c>
      <c r="R39" s="2">
        <f>VLOOKUP(Q39,nc,2,FALSE)</f>
        <v>283</v>
      </c>
      <c r="S39" s="2">
        <f t="shared" si="10"/>
        <v>10</v>
      </c>
      <c r="T39" s="2">
        <f>VLOOKUP(S39,nc,2,FALSE)</f>
        <v>74</v>
      </c>
      <c r="U39" s="2">
        <f t="shared" si="11"/>
        <v>424</v>
      </c>
      <c r="V39" s="2"/>
      <c r="W39" s="2">
        <f t="shared" si="12"/>
        <v>11</v>
      </c>
      <c r="X39" s="2">
        <f t="shared" si="13"/>
        <v>11</v>
      </c>
      <c r="AE39" s="1">
        <f>AM38</f>
        <v>41</v>
      </c>
      <c r="AF39" t="s">
        <v>3</v>
      </c>
      <c r="AG39">
        <f>AG38+1</f>
        <v>27</v>
      </c>
      <c r="AH39">
        <f>AE39-AG39</f>
        <v>14</v>
      </c>
      <c r="AO39">
        <f>INDEX($AU$22:$AU38,MATCH(AH39+1,$AT$22:$AT38,1))</f>
        <v>12</v>
      </c>
      <c r="AP39">
        <f t="shared" si="16"/>
        <v>15</v>
      </c>
      <c r="AQ39">
        <f>INDEX($AT$22:$AT38,MATCH(AP39,$AU$22:$AU38,1))</f>
        <v>37</v>
      </c>
      <c r="AR39">
        <f t="shared" ref="AR39" si="27">AQ39+AH39</f>
        <v>51</v>
      </c>
      <c r="AT39">
        <f>AT38</f>
        <v>37</v>
      </c>
      <c r="AU39">
        <f>AU38</f>
        <v>15</v>
      </c>
      <c r="AV39" s="1">
        <f>(AE39-AE38-1)*AU38+AU39+AV38</f>
        <v>484</v>
      </c>
    </row>
    <row r="40" spans="2:48" x14ac:dyDescent="0.25">
      <c r="B40">
        <f t="shared" si="0"/>
        <v>38</v>
      </c>
      <c r="C40">
        <f t="shared" si="4"/>
        <v>439</v>
      </c>
      <c r="D40">
        <f t="shared" si="5"/>
        <v>26</v>
      </c>
      <c r="E40">
        <f t="shared" si="1"/>
        <v>12</v>
      </c>
      <c r="F40">
        <f t="shared" si="2"/>
        <v>15</v>
      </c>
      <c r="H40">
        <f>VLOOKUP(D40+1,nc,5,TRUE)</f>
        <v>14</v>
      </c>
      <c r="I40">
        <f>VLOOKUP(E40,nc,5,TRUE)</f>
        <v>11</v>
      </c>
      <c r="K40">
        <f t="shared" si="6"/>
        <v>26</v>
      </c>
      <c r="L40">
        <f>VLOOKUP(K40,nc,2,FALSE)</f>
        <v>269</v>
      </c>
      <c r="M40">
        <f t="shared" si="7"/>
        <v>12</v>
      </c>
      <c r="N40">
        <f>VLOOKUP(M40,nc,2,FALSE)</f>
        <v>96</v>
      </c>
      <c r="O40">
        <f t="shared" si="8"/>
        <v>439</v>
      </c>
      <c r="Q40">
        <f t="shared" si="9"/>
        <v>27</v>
      </c>
      <c r="R40">
        <f>VLOOKUP(Q40,nc,2,FALSE)</f>
        <v>283</v>
      </c>
      <c r="S40">
        <f t="shared" si="10"/>
        <v>11</v>
      </c>
      <c r="T40">
        <f>VLOOKUP(S40,nc,2,FALSE)</f>
        <v>85</v>
      </c>
      <c r="U40">
        <f t="shared" si="11"/>
        <v>439</v>
      </c>
      <c r="W40">
        <f t="shared" si="12"/>
        <v>11</v>
      </c>
      <c r="X40">
        <f t="shared" si="13"/>
        <v>11</v>
      </c>
      <c r="AE40" s="1">
        <f>AR39</f>
        <v>51</v>
      </c>
      <c r="AF40" t="s">
        <v>2</v>
      </c>
      <c r="AG40">
        <f>AE40-AH40</f>
        <v>36</v>
      </c>
      <c r="AH40">
        <f>AH39+1</f>
        <v>15</v>
      </c>
      <c r="AJ40">
        <f>INDEX($AU$22:$AU39,MATCH(AG40+1,$AT$22:$AT39,1))</f>
        <v>15</v>
      </c>
      <c r="AK40">
        <f t="shared" si="14"/>
        <v>13</v>
      </c>
      <c r="AL40">
        <f>INDEX($AT$22:$AT39,MATCH(AK40,$AU$22:$AU39,1))</f>
        <v>20</v>
      </c>
      <c r="AM40">
        <f t="shared" ref="AM40" si="28">AG40+AL40</f>
        <v>56</v>
      </c>
      <c r="AT40">
        <f>AE40</f>
        <v>51</v>
      </c>
      <c r="AU40">
        <f>AU39+1</f>
        <v>16</v>
      </c>
      <c r="AV40" s="1">
        <f>(AE40-AE39-1)*AU39+AU40+AV39</f>
        <v>635</v>
      </c>
    </row>
    <row r="41" spans="2:48" x14ac:dyDescent="0.25">
      <c r="B41">
        <f t="shared" si="0"/>
        <v>39</v>
      </c>
      <c r="C41">
        <f t="shared" si="4"/>
        <v>454</v>
      </c>
      <c r="D41">
        <f t="shared" si="5"/>
        <v>26</v>
      </c>
      <c r="E41">
        <f t="shared" si="1"/>
        <v>13</v>
      </c>
      <c r="F41">
        <f t="shared" si="2"/>
        <v>15</v>
      </c>
      <c r="H41">
        <f>VLOOKUP(D41+1,nc,5,TRUE)</f>
        <v>14</v>
      </c>
      <c r="I41">
        <f>VLOOKUP(E41,nc,5,TRUE)</f>
        <v>11</v>
      </c>
      <c r="K41">
        <f t="shared" si="6"/>
        <v>26</v>
      </c>
      <c r="L41">
        <f>VLOOKUP(K41,nc,2,FALSE)</f>
        <v>269</v>
      </c>
      <c r="M41">
        <f t="shared" si="7"/>
        <v>13</v>
      </c>
      <c r="N41">
        <f>VLOOKUP(M41,nc,2,FALSE)</f>
        <v>107</v>
      </c>
      <c r="O41">
        <f t="shared" si="8"/>
        <v>454</v>
      </c>
      <c r="Q41">
        <f t="shared" si="9"/>
        <v>27</v>
      </c>
      <c r="R41">
        <f>VLOOKUP(Q41,nc,2,FALSE)</f>
        <v>283</v>
      </c>
      <c r="S41">
        <f t="shared" si="10"/>
        <v>12</v>
      </c>
      <c r="T41">
        <f>VLOOKUP(S41,nc,2,FALSE)</f>
        <v>96</v>
      </c>
      <c r="U41">
        <f t="shared" si="11"/>
        <v>454</v>
      </c>
      <c r="W41">
        <f t="shared" si="12"/>
        <v>11</v>
      </c>
      <c r="X41">
        <f t="shared" si="13"/>
        <v>11</v>
      </c>
      <c r="AE41" s="1">
        <f>AM40</f>
        <v>56</v>
      </c>
      <c r="AF41" t="s">
        <v>3</v>
      </c>
      <c r="AG41">
        <f>AG40+1</f>
        <v>37</v>
      </c>
      <c r="AH41">
        <f>AE41-AG41</f>
        <v>19</v>
      </c>
      <c r="AO41">
        <f>INDEX($AU$22:$AU40,MATCH(AH41+1,$AT$22:$AT40,1))</f>
        <v>13</v>
      </c>
      <c r="AP41">
        <f t="shared" si="16"/>
        <v>16</v>
      </c>
      <c r="AQ41">
        <f>INDEX($AT$22:$AT40,MATCH(AP41,$AU$22:$AU40,1))</f>
        <v>51</v>
      </c>
      <c r="AR41">
        <f t="shared" ref="AR41" si="29">AQ41+AH41</f>
        <v>70</v>
      </c>
      <c r="AT41">
        <f>AT40</f>
        <v>51</v>
      </c>
      <c r="AU41">
        <f>AU40</f>
        <v>16</v>
      </c>
      <c r="AV41" s="1">
        <f>(AE41-AE40-1)*AU40+AU41+AV40</f>
        <v>715</v>
      </c>
    </row>
    <row r="42" spans="2:48" x14ac:dyDescent="0.25">
      <c r="B42">
        <f t="shared" si="0"/>
        <v>40</v>
      </c>
      <c r="C42">
        <f t="shared" si="4"/>
        <v>469</v>
      </c>
      <c r="D42">
        <f t="shared" si="5"/>
        <v>26</v>
      </c>
      <c r="E42">
        <f t="shared" si="1"/>
        <v>14</v>
      </c>
      <c r="F42">
        <f t="shared" si="2"/>
        <v>15</v>
      </c>
      <c r="H42">
        <f>VLOOKUP(D42+1,nc,5,TRUE)</f>
        <v>14</v>
      </c>
      <c r="I42">
        <f>VLOOKUP(E42,nc,5,TRUE)</f>
        <v>11</v>
      </c>
      <c r="K42">
        <f t="shared" si="6"/>
        <v>26</v>
      </c>
      <c r="L42">
        <f>VLOOKUP(K42,nc,2,FALSE)</f>
        <v>269</v>
      </c>
      <c r="M42">
        <f t="shared" si="7"/>
        <v>14</v>
      </c>
      <c r="N42">
        <f>VLOOKUP(M42,nc,2,FALSE)</f>
        <v>118</v>
      </c>
      <c r="O42">
        <f t="shared" si="8"/>
        <v>469</v>
      </c>
      <c r="Q42">
        <f t="shared" si="9"/>
        <v>27</v>
      </c>
      <c r="R42">
        <f>VLOOKUP(Q42,nc,2,FALSE)</f>
        <v>283</v>
      </c>
      <c r="S42">
        <f t="shared" si="10"/>
        <v>13</v>
      </c>
      <c r="T42">
        <f>VLOOKUP(S42,nc,2,FALSE)</f>
        <v>107</v>
      </c>
      <c r="U42">
        <f t="shared" si="11"/>
        <v>469</v>
      </c>
      <c r="W42">
        <f t="shared" si="12"/>
        <v>11</v>
      </c>
      <c r="X42">
        <f t="shared" si="13"/>
        <v>11</v>
      </c>
      <c r="AE42" s="1">
        <f>AR41</f>
        <v>70</v>
      </c>
      <c r="AF42" t="s">
        <v>2</v>
      </c>
      <c r="AG42">
        <f>AE42-AH42</f>
        <v>50</v>
      </c>
      <c r="AH42">
        <f>AH41+1</f>
        <v>20</v>
      </c>
      <c r="AJ42">
        <f>INDEX($AU$22:$AU41,MATCH(AG42+1,$AT$22:$AT41,1))</f>
        <v>16</v>
      </c>
      <c r="AK42">
        <f t="shared" si="14"/>
        <v>14</v>
      </c>
      <c r="AL42">
        <f>INDEX($AT$22:$AT41,MATCH(AK42,$AU$22:$AU41,1))</f>
        <v>27</v>
      </c>
      <c r="AM42">
        <f t="shared" ref="AM42" si="30">AG42+AL42</f>
        <v>77</v>
      </c>
      <c r="AT42">
        <f>AE42</f>
        <v>70</v>
      </c>
      <c r="AU42">
        <f>AU41+1</f>
        <v>17</v>
      </c>
      <c r="AV42" s="1">
        <f>(AE42-AE41-1)*AU41+AU42+AV41</f>
        <v>940</v>
      </c>
    </row>
    <row r="43" spans="2:48" x14ac:dyDescent="0.25">
      <c r="B43">
        <f t="shared" si="0"/>
        <v>41</v>
      </c>
      <c r="C43">
        <f t="shared" si="4"/>
        <v>484</v>
      </c>
      <c r="D43">
        <f t="shared" si="5"/>
        <v>27</v>
      </c>
      <c r="E43">
        <f t="shared" si="1"/>
        <v>14</v>
      </c>
      <c r="F43">
        <f t="shared" si="2"/>
        <v>15</v>
      </c>
      <c r="H43">
        <f>VLOOKUP(D43+1,nc,5,TRUE)</f>
        <v>14</v>
      </c>
      <c r="I43">
        <f>VLOOKUP(E43,nc,5,TRUE)</f>
        <v>11</v>
      </c>
      <c r="K43">
        <f t="shared" si="6"/>
        <v>26</v>
      </c>
      <c r="L43">
        <f>VLOOKUP(K43,nc,2,FALSE)</f>
        <v>269</v>
      </c>
      <c r="M43">
        <f t="shared" si="7"/>
        <v>15</v>
      </c>
      <c r="N43">
        <f>VLOOKUP(M43,nc,2,FALSE)</f>
        <v>130</v>
      </c>
      <c r="O43">
        <f t="shared" si="8"/>
        <v>485</v>
      </c>
      <c r="Q43">
        <f t="shared" si="9"/>
        <v>27</v>
      </c>
      <c r="R43">
        <f>VLOOKUP(Q43,nc,2,FALSE)</f>
        <v>283</v>
      </c>
      <c r="S43">
        <f t="shared" si="10"/>
        <v>14</v>
      </c>
      <c r="T43">
        <f>VLOOKUP(S43,nc,2,FALSE)</f>
        <v>118</v>
      </c>
      <c r="U43">
        <f t="shared" si="11"/>
        <v>484</v>
      </c>
      <c r="W43">
        <f t="shared" si="12"/>
        <v>12</v>
      </c>
      <c r="X43">
        <f t="shared" si="13"/>
        <v>11</v>
      </c>
      <c r="AE43" s="1">
        <f>AM42</f>
        <v>77</v>
      </c>
      <c r="AF43" t="s">
        <v>3</v>
      </c>
      <c r="AG43">
        <f>AG42+1</f>
        <v>51</v>
      </c>
      <c r="AH43">
        <f>AE43-AG43</f>
        <v>26</v>
      </c>
      <c r="AO43">
        <f>INDEX($AU$22:$AU42,MATCH(AH43+1,$AT$22:$AT42,1))</f>
        <v>14</v>
      </c>
      <c r="AP43">
        <f t="shared" si="16"/>
        <v>17</v>
      </c>
      <c r="AQ43">
        <f>INDEX($AT$22:$AT42,MATCH(AP43,$AU$22:$AU42,1))</f>
        <v>70</v>
      </c>
      <c r="AR43">
        <f t="shared" ref="AR43" si="31">AQ43+AH43</f>
        <v>96</v>
      </c>
      <c r="AT43">
        <f>AT42</f>
        <v>70</v>
      </c>
      <c r="AU43">
        <f>AU42</f>
        <v>17</v>
      </c>
      <c r="AV43" s="1">
        <f>(AE43-AE42-1)*AU42+AU43+AV42</f>
        <v>1059</v>
      </c>
    </row>
    <row r="44" spans="2:48" x14ac:dyDescent="0.25">
      <c r="B44">
        <f t="shared" si="0"/>
        <v>42</v>
      </c>
      <c r="C44">
        <f t="shared" si="4"/>
        <v>499</v>
      </c>
      <c r="D44">
        <f t="shared" si="5"/>
        <v>28</v>
      </c>
      <c r="E44">
        <f t="shared" si="1"/>
        <v>14</v>
      </c>
      <c r="F44">
        <f t="shared" si="2"/>
        <v>15</v>
      </c>
      <c r="H44">
        <f>VLOOKUP(D44+1,nc,5,TRUE)</f>
        <v>14</v>
      </c>
      <c r="I44">
        <f>VLOOKUP(E44,nc,5,TRUE)</f>
        <v>11</v>
      </c>
      <c r="K44">
        <f t="shared" si="6"/>
        <v>27</v>
      </c>
      <c r="L44">
        <f>VLOOKUP(K44,nc,2,FALSE)</f>
        <v>283</v>
      </c>
      <c r="M44">
        <f t="shared" si="7"/>
        <v>15</v>
      </c>
      <c r="N44">
        <f>VLOOKUP(M44,nc,2,FALSE)</f>
        <v>130</v>
      </c>
      <c r="O44">
        <f t="shared" si="8"/>
        <v>500</v>
      </c>
      <c r="Q44">
        <f t="shared" si="9"/>
        <v>28</v>
      </c>
      <c r="R44">
        <f>VLOOKUP(Q44,nc,2,FALSE)</f>
        <v>297</v>
      </c>
      <c r="S44">
        <f t="shared" si="10"/>
        <v>14</v>
      </c>
      <c r="T44">
        <f>VLOOKUP(S44,nc,2,FALSE)</f>
        <v>118</v>
      </c>
      <c r="U44">
        <f t="shared" si="11"/>
        <v>499</v>
      </c>
      <c r="W44">
        <f t="shared" si="12"/>
        <v>12</v>
      </c>
      <c r="X44">
        <f t="shared" si="13"/>
        <v>11</v>
      </c>
      <c r="AE44" s="1">
        <f>AR43</f>
        <v>96</v>
      </c>
      <c r="AF44" t="s">
        <v>2</v>
      </c>
      <c r="AG44">
        <f>AE44-AH44</f>
        <v>69</v>
      </c>
      <c r="AH44">
        <f>AH43+1</f>
        <v>27</v>
      </c>
      <c r="AJ44">
        <f>INDEX($AU$22:$AU43,MATCH(AG44+1,$AT$22:$AT43,1))</f>
        <v>17</v>
      </c>
      <c r="AK44">
        <f t="shared" si="14"/>
        <v>15</v>
      </c>
      <c r="AL44">
        <f>INDEX($AT$22:$AT43,MATCH(AK44,$AU$22:$AU43,1))</f>
        <v>37</v>
      </c>
      <c r="AM44">
        <f t="shared" ref="AM44" si="32">AG44+AL44</f>
        <v>106</v>
      </c>
      <c r="AT44">
        <f>AE44</f>
        <v>96</v>
      </c>
      <c r="AU44">
        <f>AU43+1</f>
        <v>18</v>
      </c>
      <c r="AV44" s="1">
        <f>(AE44-AE43-1)*AU43+AU44+AV43</f>
        <v>1383</v>
      </c>
    </row>
    <row r="45" spans="2:48" x14ac:dyDescent="0.25">
      <c r="B45">
        <f t="shared" si="0"/>
        <v>43</v>
      </c>
      <c r="C45">
        <f t="shared" si="4"/>
        <v>514</v>
      </c>
      <c r="D45">
        <f t="shared" si="5"/>
        <v>29</v>
      </c>
      <c r="E45">
        <f t="shared" si="1"/>
        <v>14</v>
      </c>
      <c r="F45">
        <f t="shared" si="2"/>
        <v>15</v>
      </c>
      <c r="H45">
        <f>VLOOKUP(D45+1,nc,5,TRUE)</f>
        <v>14</v>
      </c>
      <c r="I45">
        <f>VLOOKUP(E45,nc,5,TRUE)</f>
        <v>11</v>
      </c>
      <c r="K45">
        <f t="shared" si="6"/>
        <v>28</v>
      </c>
      <c r="L45">
        <f>VLOOKUP(K45,nc,2,FALSE)</f>
        <v>297</v>
      </c>
      <c r="M45">
        <f t="shared" si="7"/>
        <v>15</v>
      </c>
      <c r="N45">
        <f>VLOOKUP(M45,nc,2,FALSE)</f>
        <v>130</v>
      </c>
      <c r="O45">
        <f t="shared" si="8"/>
        <v>515</v>
      </c>
      <c r="Q45">
        <f t="shared" si="9"/>
        <v>29</v>
      </c>
      <c r="R45">
        <f>VLOOKUP(Q45,nc,2,FALSE)</f>
        <v>311</v>
      </c>
      <c r="S45">
        <f t="shared" si="10"/>
        <v>14</v>
      </c>
      <c r="T45">
        <f>VLOOKUP(S45,nc,2,FALSE)</f>
        <v>118</v>
      </c>
      <c r="U45">
        <f t="shared" si="11"/>
        <v>514</v>
      </c>
      <c r="W45">
        <f t="shared" si="12"/>
        <v>12</v>
      </c>
      <c r="X45">
        <f t="shared" si="13"/>
        <v>11</v>
      </c>
      <c r="AE45" s="1">
        <f>AM44</f>
        <v>106</v>
      </c>
      <c r="AF45" t="s">
        <v>3</v>
      </c>
      <c r="AG45">
        <f>AG44+1</f>
        <v>70</v>
      </c>
      <c r="AH45">
        <f>AE45-AG45</f>
        <v>36</v>
      </c>
      <c r="AO45">
        <f>INDEX($AU$22:$AU44,MATCH(AH45+1,$AT$22:$AT44,1))</f>
        <v>15</v>
      </c>
      <c r="AP45">
        <f t="shared" si="16"/>
        <v>18</v>
      </c>
      <c r="AQ45">
        <f>INDEX($AT$22:$AT44,MATCH(AP45,$AU$22:$AU44,1))</f>
        <v>96</v>
      </c>
      <c r="AR45">
        <f t="shared" ref="AR45" si="33">AQ45+AH45</f>
        <v>132</v>
      </c>
      <c r="AT45">
        <f>AT44</f>
        <v>96</v>
      </c>
      <c r="AU45">
        <f>AU44</f>
        <v>18</v>
      </c>
      <c r="AV45" s="1">
        <f>(AE45-AE44-1)*AU44+AU45+AV44</f>
        <v>1563</v>
      </c>
    </row>
    <row r="46" spans="2:48" x14ac:dyDescent="0.25">
      <c r="B46">
        <f t="shared" si="0"/>
        <v>44</v>
      </c>
      <c r="C46">
        <f t="shared" si="4"/>
        <v>529</v>
      </c>
      <c r="D46">
        <f t="shared" si="5"/>
        <v>30</v>
      </c>
      <c r="E46">
        <f t="shared" si="1"/>
        <v>14</v>
      </c>
      <c r="F46">
        <f t="shared" si="2"/>
        <v>15</v>
      </c>
      <c r="H46">
        <f>VLOOKUP(D46+1,nc,5,TRUE)</f>
        <v>14</v>
      </c>
      <c r="I46">
        <f>VLOOKUP(E46,nc,5,TRUE)</f>
        <v>11</v>
      </c>
      <c r="K46">
        <f t="shared" si="6"/>
        <v>29</v>
      </c>
      <c r="L46">
        <f>VLOOKUP(K46,nc,2,FALSE)</f>
        <v>311</v>
      </c>
      <c r="M46">
        <f t="shared" si="7"/>
        <v>15</v>
      </c>
      <c r="N46">
        <f>VLOOKUP(M46,nc,2,FALSE)</f>
        <v>130</v>
      </c>
      <c r="O46">
        <f t="shared" si="8"/>
        <v>530</v>
      </c>
      <c r="Q46">
        <f t="shared" si="9"/>
        <v>30</v>
      </c>
      <c r="R46">
        <f>VLOOKUP(Q46,nc,2,FALSE)</f>
        <v>325</v>
      </c>
      <c r="S46">
        <f t="shared" si="10"/>
        <v>14</v>
      </c>
      <c r="T46">
        <f>VLOOKUP(S46,nc,2,FALSE)</f>
        <v>118</v>
      </c>
      <c r="U46">
        <f t="shared" si="11"/>
        <v>529</v>
      </c>
      <c r="W46">
        <f t="shared" si="12"/>
        <v>12</v>
      </c>
      <c r="X46">
        <f t="shared" si="13"/>
        <v>11</v>
      </c>
      <c r="AE46" s="1">
        <f>AR45</f>
        <v>132</v>
      </c>
      <c r="AF46" t="s">
        <v>2</v>
      </c>
      <c r="AG46">
        <f>AE46-AH46</f>
        <v>95</v>
      </c>
      <c r="AH46">
        <f>AH45+1</f>
        <v>37</v>
      </c>
      <c r="AJ46">
        <f>INDEX($AU$22:$AU45,MATCH(AG46+1,$AT$22:$AT45,1))</f>
        <v>18</v>
      </c>
      <c r="AK46">
        <f t="shared" si="14"/>
        <v>16</v>
      </c>
      <c r="AL46">
        <f>INDEX($AT$22:$AT45,MATCH(AK46,$AU$22:$AU45,1))</f>
        <v>51</v>
      </c>
      <c r="AM46">
        <f t="shared" ref="AM46" si="34">AG46+AL46</f>
        <v>146</v>
      </c>
      <c r="AT46">
        <f>AE46</f>
        <v>132</v>
      </c>
      <c r="AU46">
        <f>AU45+1</f>
        <v>19</v>
      </c>
      <c r="AV46" s="1">
        <f>(AE46-AE45-1)*AU45+AU46+AV45</f>
        <v>2032</v>
      </c>
    </row>
    <row r="47" spans="2:48" x14ac:dyDescent="0.25">
      <c r="B47">
        <f t="shared" si="0"/>
        <v>45</v>
      </c>
      <c r="C47">
        <f t="shared" si="4"/>
        <v>544</v>
      </c>
      <c r="D47">
        <f t="shared" si="5"/>
        <v>31</v>
      </c>
      <c r="E47">
        <f t="shared" si="1"/>
        <v>14</v>
      </c>
      <c r="F47">
        <f t="shared" si="2"/>
        <v>15</v>
      </c>
      <c r="H47">
        <f>VLOOKUP(D47+1,nc,5,TRUE)</f>
        <v>14</v>
      </c>
      <c r="I47">
        <f>VLOOKUP(E47,nc,5,TRUE)</f>
        <v>11</v>
      </c>
      <c r="K47">
        <f t="shared" si="6"/>
        <v>30</v>
      </c>
      <c r="L47">
        <f>VLOOKUP(K47,nc,2,FALSE)</f>
        <v>325</v>
      </c>
      <c r="M47">
        <f t="shared" si="7"/>
        <v>15</v>
      </c>
      <c r="N47">
        <f>VLOOKUP(M47,nc,2,FALSE)</f>
        <v>130</v>
      </c>
      <c r="O47">
        <f t="shared" si="8"/>
        <v>545</v>
      </c>
      <c r="Q47">
        <f t="shared" si="9"/>
        <v>31</v>
      </c>
      <c r="R47">
        <f>VLOOKUP(Q47,nc,2,FALSE)</f>
        <v>339</v>
      </c>
      <c r="S47">
        <f t="shared" si="10"/>
        <v>14</v>
      </c>
      <c r="T47">
        <f>VLOOKUP(S47,nc,2,FALSE)</f>
        <v>118</v>
      </c>
      <c r="U47">
        <f t="shared" si="11"/>
        <v>544</v>
      </c>
      <c r="W47">
        <f t="shared" si="12"/>
        <v>12</v>
      </c>
      <c r="X47">
        <f t="shared" si="13"/>
        <v>11</v>
      </c>
      <c r="AE47" s="1">
        <f>AM46</f>
        <v>146</v>
      </c>
      <c r="AF47" t="s">
        <v>3</v>
      </c>
      <c r="AG47">
        <f>AG46+1</f>
        <v>96</v>
      </c>
      <c r="AH47">
        <f>AE47-AG47</f>
        <v>50</v>
      </c>
      <c r="AO47">
        <f>INDEX($AU$22:$AU46,MATCH(AH47+1,$AT$22:$AT46,1))</f>
        <v>16</v>
      </c>
      <c r="AP47">
        <f t="shared" si="16"/>
        <v>19</v>
      </c>
      <c r="AQ47">
        <f>INDEX($AT$22:$AT46,MATCH(AP47,$AU$22:$AU46,1))</f>
        <v>132</v>
      </c>
      <c r="AR47">
        <f t="shared" ref="AR47" si="35">AQ47+AH47</f>
        <v>182</v>
      </c>
      <c r="AT47">
        <f>AT46</f>
        <v>132</v>
      </c>
      <c r="AU47">
        <f>AU46</f>
        <v>19</v>
      </c>
      <c r="AV47" s="1">
        <f>(AE47-AE46-1)*AU46+AU47+AV46</f>
        <v>2298</v>
      </c>
    </row>
    <row r="48" spans="2:48" x14ac:dyDescent="0.25">
      <c r="B48">
        <f t="shared" si="0"/>
        <v>46</v>
      </c>
      <c r="C48">
        <f t="shared" si="4"/>
        <v>559</v>
      </c>
      <c r="D48">
        <f t="shared" si="5"/>
        <v>32</v>
      </c>
      <c r="E48">
        <f t="shared" si="1"/>
        <v>14</v>
      </c>
      <c r="F48">
        <f t="shared" si="2"/>
        <v>15</v>
      </c>
      <c r="H48">
        <f>VLOOKUP(D48+1,nc,5,TRUE)</f>
        <v>14</v>
      </c>
      <c r="I48">
        <f>VLOOKUP(E48,nc,5,TRUE)</f>
        <v>11</v>
      </c>
      <c r="K48">
        <f t="shared" si="6"/>
        <v>31</v>
      </c>
      <c r="L48">
        <f>VLOOKUP(K48,nc,2,FALSE)</f>
        <v>339</v>
      </c>
      <c r="M48">
        <f t="shared" si="7"/>
        <v>15</v>
      </c>
      <c r="N48">
        <f>VLOOKUP(M48,nc,2,FALSE)</f>
        <v>130</v>
      </c>
      <c r="O48">
        <f t="shared" si="8"/>
        <v>560</v>
      </c>
      <c r="Q48">
        <f t="shared" si="9"/>
        <v>32</v>
      </c>
      <c r="R48">
        <f>VLOOKUP(Q48,nc,2,FALSE)</f>
        <v>353</v>
      </c>
      <c r="S48">
        <f t="shared" si="10"/>
        <v>14</v>
      </c>
      <c r="T48">
        <f>VLOOKUP(S48,nc,2,FALSE)</f>
        <v>118</v>
      </c>
      <c r="U48">
        <f t="shared" si="11"/>
        <v>559</v>
      </c>
      <c r="W48">
        <f t="shared" si="12"/>
        <v>12</v>
      </c>
      <c r="X48">
        <f t="shared" si="13"/>
        <v>11</v>
      </c>
      <c r="AE48" s="1">
        <f>AR47</f>
        <v>182</v>
      </c>
      <c r="AF48" t="s">
        <v>2</v>
      </c>
      <c r="AG48">
        <f>AE48-AH48</f>
        <v>131</v>
      </c>
      <c r="AH48">
        <f>AH47+1</f>
        <v>51</v>
      </c>
      <c r="AJ48">
        <f>INDEX($AU$22:$AU47,MATCH(AG48+1,$AT$22:$AT47,1))</f>
        <v>19</v>
      </c>
      <c r="AK48">
        <f t="shared" si="14"/>
        <v>17</v>
      </c>
      <c r="AL48">
        <f>INDEX($AT$22:$AT47,MATCH(AK48,$AU$22:$AU47,1))</f>
        <v>70</v>
      </c>
      <c r="AM48">
        <f t="shared" ref="AM48" si="36">AG48+AL48</f>
        <v>201</v>
      </c>
      <c r="AT48">
        <f>AE48</f>
        <v>182</v>
      </c>
      <c r="AU48">
        <f>AU47+1</f>
        <v>20</v>
      </c>
      <c r="AV48" s="1">
        <f>(AE48-AE47-1)*AU47+AU48+AV47</f>
        <v>2983</v>
      </c>
    </row>
    <row r="49" spans="2:48" x14ac:dyDescent="0.25">
      <c r="B49">
        <f t="shared" si="0"/>
        <v>47</v>
      </c>
      <c r="C49">
        <f t="shared" si="4"/>
        <v>574</v>
      </c>
      <c r="D49">
        <f t="shared" si="5"/>
        <v>33</v>
      </c>
      <c r="E49">
        <f t="shared" si="1"/>
        <v>14</v>
      </c>
      <c r="F49">
        <f t="shared" si="2"/>
        <v>15</v>
      </c>
      <c r="H49">
        <f>VLOOKUP(D49+1,nc,5,TRUE)</f>
        <v>14</v>
      </c>
      <c r="I49">
        <f>VLOOKUP(E49,nc,5,TRUE)</f>
        <v>11</v>
      </c>
      <c r="K49">
        <f t="shared" si="6"/>
        <v>32</v>
      </c>
      <c r="L49">
        <f>VLOOKUP(K49,nc,2,FALSE)</f>
        <v>353</v>
      </c>
      <c r="M49">
        <f t="shared" si="7"/>
        <v>15</v>
      </c>
      <c r="N49">
        <f>VLOOKUP(M49,nc,2,FALSE)</f>
        <v>130</v>
      </c>
      <c r="O49">
        <f t="shared" si="8"/>
        <v>575</v>
      </c>
      <c r="Q49">
        <f t="shared" si="9"/>
        <v>33</v>
      </c>
      <c r="R49">
        <f>VLOOKUP(Q49,nc,2,FALSE)</f>
        <v>367</v>
      </c>
      <c r="S49">
        <f t="shared" si="10"/>
        <v>14</v>
      </c>
      <c r="T49">
        <f>VLOOKUP(S49,nc,2,FALSE)</f>
        <v>118</v>
      </c>
      <c r="U49">
        <f t="shared" si="11"/>
        <v>574</v>
      </c>
      <c r="W49">
        <f t="shared" si="12"/>
        <v>12</v>
      </c>
      <c r="X49">
        <f t="shared" si="13"/>
        <v>11</v>
      </c>
      <c r="AE49" s="1">
        <f>AM48</f>
        <v>201</v>
      </c>
      <c r="AF49" t="s">
        <v>3</v>
      </c>
      <c r="AG49">
        <f>AG48+1</f>
        <v>132</v>
      </c>
      <c r="AH49">
        <f>AE49-AG49</f>
        <v>69</v>
      </c>
      <c r="AO49">
        <f>INDEX($AU$22:$AU48,MATCH(AH49+1,$AT$22:$AT48,1))</f>
        <v>17</v>
      </c>
      <c r="AP49">
        <f t="shared" si="16"/>
        <v>20</v>
      </c>
      <c r="AQ49">
        <f>INDEX($AT$22:$AT48,MATCH(AP49,$AU$22:$AU48,1))</f>
        <v>182</v>
      </c>
      <c r="AR49">
        <f t="shared" ref="AR49" si="37">AQ49+AH49</f>
        <v>251</v>
      </c>
      <c r="AT49">
        <f>AT48</f>
        <v>182</v>
      </c>
      <c r="AU49">
        <f>AU48</f>
        <v>20</v>
      </c>
      <c r="AV49" s="1">
        <f>(AE49-AE48-1)*AU48+AU49+AV48</f>
        <v>3363</v>
      </c>
    </row>
    <row r="50" spans="2:48" x14ac:dyDescent="0.25">
      <c r="B50">
        <f t="shared" si="0"/>
        <v>48</v>
      </c>
      <c r="C50">
        <f t="shared" si="4"/>
        <v>589</v>
      </c>
      <c r="D50">
        <f t="shared" si="5"/>
        <v>34</v>
      </c>
      <c r="E50">
        <f t="shared" si="1"/>
        <v>14</v>
      </c>
      <c r="F50">
        <f t="shared" si="2"/>
        <v>15</v>
      </c>
      <c r="H50">
        <f>VLOOKUP(D50+1,nc,5,TRUE)</f>
        <v>14</v>
      </c>
      <c r="I50">
        <f>VLOOKUP(E50,nc,5,TRUE)</f>
        <v>11</v>
      </c>
      <c r="K50">
        <f t="shared" si="6"/>
        <v>33</v>
      </c>
      <c r="L50">
        <f>VLOOKUP(K50,nc,2,FALSE)</f>
        <v>367</v>
      </c>
      <c r="M50">
        <f t="shared" si="7"/>
        <v>15</v>
      </c>
      <c r="N50">
        <f>VLOOKUP(M50,nc,2,FALSE)</f>
        <v>130</v>
      </c>
      <c r="O50">
        <f t="shared" si="8"/>
        <v>590</v>
      </c>
      <c r="Q50">
        <f t="shared" si="9"/>
        <v>34</v>
      </c>
      <c r="R50">
        <f>VLOOKUP(Q50,nc,2,FALSE)</f>
        <v>381</v>
      </c>
      <c r="S50">
        <f t="shared" si="10"/>
        <v>14</v>
      </c>
      <c r="T50">
        <f>VLOOKUP(S50,nc,2,FALSE)</f>
        <v>118</v>
      </c>
      <c r="U50">
        <f t="shared" si="11"/>
        <v>589</v>
      </c>
      <c r="W50">
        <f t="shared" si="12"/>
        <v>12</v>
      </c>
      <c r="X50">
        <f t="shared" si="13"/>
        <v>11</v>
      </c>
      <c r="AE50" s="1">
        <f>AR49</f>
        <v>251</v>
      </c>
      <c r="AF50" t="s">
        <v>2</v>
      </c>
      <c r="AG50">
        <f>AE50-AH50</f>
        <v>181</v>
      </c>
      <c r="AH50">
        <f>AH49+1</f>
        <v>70</v>
      </c>
      <c r="AJ50">
        <f>INDEX($AU$22:$AU49,MATCH(AG50+1,$AT$22:$AT49,1))</f>
        <v>20</v>
      </c>
      <c r="AK50">
        <f t="shared" si="14"/>
        <v>18</v>
      </c>
      <c r="AL50">
        <f>INDEX($AT$22:$AT49,MATCH(AK50,$AU$22:$AU49,1))</f>
        <v>96</v>
      </c>
      <c r="AM50">
        <f t="shared" ref="AM50" si="38">AG50+AL50</f>
        <v>277</v>
      </c>
      <c r="AT50">
        <f>AE50</f>
        <v>251</v>
      </c>
      <c r="AU50">
        <f>AU49+1</f>
        <v>21</v>
      </c>
      <c r="AV50" s="1">
        <f>(AE50-AE49-1)*AU49+AU50+AV49</f>
        <v>4364</v>
      </c>
    </row>
    <row r="51" spans="2:48" x14ac:dyDescent="0.25">
      <c r="B51">
        <f t="shared" si="0"/>
        <v>49</v>
      </c>
      <c r="C51">
        <f t="shared" si="4"/>
        <v>604</v>
      </c>
      <c r="D51">
        <f t="shared" si="5"/>
        <v>35</v>
      </c>
      <c r="E51">
        <f t="shared" si="1"/>
        <v>14</v>
      </c>
      <c r="F51">
        <f t="shared" si="2"/>
        <v>15</v>
      </c>
      <c r="H51">
        <f>VLOOKUP(D51+1,nc,5,TRUE)</f>
        <v>14</v>
      </c>
      <c r="I51">
        <f>VLOOKUP(E51,nc,5,TRUE)</f>
        <v>11</v>
      </c>
      <c r="K51">
        <f t="shared" si="6"/>
        <v>34</v>
      </c>
      <c r="L51">
        <f>VLOOKUP(K51,nc,2,FALSE)</f>
        <v>381</v>
      </c>
      <c r="M51">
        <f t="shared" si="7"/>
        <v>15</v>
      </c>
      <c r="N51">
        <f>VLOOKUP(M51,nc,2,FALSE)</f>
        <v>130</v>
      </c>
      <c r="O51">
        <f t="shared" si="8"/>
        <v>605</v>
      </c>
      <c r="Q51">
        <f t="shared" si="9"/>
        <v>35</v>
      </c>
      <c r="R51">
        <f>VLOOKUP(Q51,nc,2,FALSE)</f>
        <v>395</v>
      </c>
      <c r="S51">
        <f t="shared" si="10"/>
        <v>14</v>
      </c>
      <c r="T51">
        <f>VLOOKUP(S51,nc,2,FALSE)</f>
        <v>118</v>
      </c>
      <c r="U51">
        <f t="shared" si="11"/>
        <v>604</v>
      </c>
      <c r="W51">
        <f t="shared" si="12"/>
        <v>12</v>
      </c>
      <c r="X51">
        <f t="shared" si="13"/>
        <v>11</v>
      </c>
      <c r="AE51" s="1">
        <f>AM50</f>
        <v>277</v>
      </c>
      <c r="AF51" t="s">
        <v>3</v>
      </c>
      <c r="AG51">
        <f>AG50+1</f>
        <v>182</v>
      </c>
      <c r="AH51">
        <f>AE51-AG51</f>
        <v>95</v>
      </c>
      <c r="AO51">
        <f>INDEX($AU$22:$AU50,MATCH(AH51+1,$AT$22:$AT50,1))</f>
        <v>18</v>
      </c>
      <c r="AP51">
        <f t="shared" si="16"/>
        <v>21</v>
      </c>
      <c r="AQ51">
        <f>INDEX($AT$22:$AT50,MATCH(AP51,$AU$22:$AU50,1))</f>
        <v>251</v>
      </c>
      <c r="AR51">
        <f t="shared" ref="AR51" si="39">AQ51+AH51</f>
        <v>346</v>
      </c>
      <c r="AT51">
        <f>AT50</f>
        <v>251</v>
      </c>
      <c r="AU51">
        <f>AU50</f>
        <v>21</v>
      </c>
      <c r="AV51" s="1">
        <f>(AE51-AE50-1)*AU50+AU51+AV50</f>
        <v>4910</v>
      </c>
    </row>
    <row r="52" spans="2:48" x14ac:dyDescent="0.25">
      <c r="B52">
        <f t="shared" si="0"/>
        <v>50</v>
      </c>
      <c r="C52">
        <f t="shared" si="4"/>
        <v>619</v>
      </c>
      <c r="D52">
        <f t="shared" si="5"/>
        <v>36</v>
      </c>
      <c r="E52">
        <f t="shared" si="1"/>
        <v>14</v>
      </c>
      <c r="F52">
        <f t="shared" si="2"/>
        <v>15</v>
      </c>
      <c r="H52">
        <f>VLOOKUP(D52+1,nc,5,TRUE)</f>
        <v>15</v>
      </c>
      <c r="I52">
        <f>VLOOKUP(E52,nc,5,TRUE)</f>
        <v>11</v>
      </c>
      <c r="K52">
        <f t="shared" si="6"/>
        <v>35</v>
      </c>
      <c r="L52">
        <f>VLOOKUP(K52,nc,2,FALSE)</f>
        <v>395</v>
      </c>
      <c r="M52">
        <f t="shared" si="7"/>
        <v>15</v>
      </c>
      <c r="N52">
        <f>VLOOKUP(M52,nc,2,FALSE)</f>
        <v>130</v>
      </c>
      <c r="O52">
        <f t="shared" si="8"/>
        <v>620</v>
      </c>
      <c r="Q52">
        <f t="shared" si="9"/>
        <v>36</v>
      </c>
      <c r="R52">
        <f>VLOOKUP(Q52,nc,2,FALSE)</f>
        <v>409</v>
      </c>
      <c r="S52">
        <f t="shared" si="10"/>
        <v>14</v>
      </c>
      <c r="T52">
        <f>VLOOKUP(S52,nc,2,FALSE)</f>
        <v>118</v>
      </c>
      <c r="U52">
        <f t="shared" si="11"/>
        <v>619</v>
      </c>
      <c r="W52">
        <f t="shared" si="12"/>
        <v>12</v>
      </c>
      <c r="X52">
        <f t="shared" si="13"/>
        <v>11</v>
      </c>
      <c r="AE52" s="1">
        <f>AR51</f>
        <v>346</v>
      </c>
      <c r="AF52" t="s">
        <v>2</v>
      </c>
      <c r="AG52">
        <f>AE52-AH52</f>
        <v>250</v>
      </c>
      <c r="AH52">
        <f>AH51+1</f>
        <v>96</v>
      </c>
      <c r="AJ52">
        <f>INDEX($AU$22:$AU51,MATCH(AG52+1,$AT$22:$AT51,1))</f>
        <v>21</v>
      </c>
      <c r="AK52">
        <f t="shared" si="14"/>
        <v>19</v>
      </c>
      <c r="AL52">
        <f>INDEX($AT$22:$AT51,MATCH(AK52,$AU$22:$AU51,1))</f>
        <v>132</v>
      </c>
      <c r="AM52">
        <f t="shared" ref="AM52" si="40">AG52+AL52</f>
        <v>382</v>
      </c>
      <c r="AT52">
        <f>AE52</f>
        <v>346</v>
      </c>
      <c r="AU52">
        <f>AU51+1</f>
        <v>22</v>
      </c>
      <c r="AV52" s="1">
        <f>(AE52-AE51-1)*AU51+AU52+AV51</f>
        <v>6360</v>
      </c>
    </row>
    <row r="53" spans="2:48" x14ac:dyDescent="0.25">
      <c r="B53">
        <f t="shared" si="0"/>
        <v>51</v>
      </c>
      <c r="C53">
        <f t="shared" si="4"/>
        <v>635</v>
      </c>
      <c r="D53">
        <f t="shared" si="5"/>
        <v>36</v>
      </c>
      <c r="E53">
        <f t="shared" si="1"/>
        <v>15</v>
      </c>
      <c r="F53">
        <f t="shared" si="2"/>
        <v>16</v>
      </c>
      <c r="H53">
        <f>VLOOKUP(D53+1,nc,5,TRUE)</f>
        <v>15</v>
      </c>
      <c r="I53">
        <f>VLOOKUP(E53,nc,5,TRUE)</f>
        <v>12</v>
      </c>
      <c r="K53">
        <f t="shared" si="6"/>
        <v>36</v>
      </c>
      <c r="L53">
        <f>VLOOKUP(K53,nc,2,FALSE)</f>
        <v>409</v>
      </c>
      <c r="M53">
        <f t="shared" si="7"/>
        <v>15</v>
      </c>
      <c r="N53">
        <f>VLOOKUP(M53,nc,2,FALSE)</f>
        <v>130</v>
      </c>
      <c r="O53">
        <f t="shared" si="8"/>
        <v>635</v>
      </c>
      <c r="Q53">
        <f t="shared" si="9"/>
        <v>37</v>
      </c>
      <c r="R53">
        <f>VLOOKUP(Q53,nc,2,FALSE)</f>
        <v>424</v>
      </c>
      <c r="S53">
        <f t="shared" si="10"/>
        <v>14</v>
      </c>
      <c r="T53">
        <f>VLOOKUP(S53,nc,2,FALSE)</f>
        <v>118</v>
      </c>
      <c r="U53">
        <f t="shared" si="11"/>
        <v>635</v>
      </c>
      <c r="W53">
        <f t="shared" si="12"/>
        <v>12</v>
      </c>
      <c r="X53">
        <f t="shared" si="13"/>
        <v>12</v>
      </c>
      <c r="AE53" s="1">
        <f>AM52</f>
        <v>382</v>
      </c>
      <c r="AF53" t="s">
        <v>3</v>
      </c>
      <c r="AG53">
        <f>AG52+1</f>
        <v>251</v>
      </c>
      <c r="AH53">
        <f>AE53-AG53</f>
        <v>131</v>
      </c>
      <c r="AO53">
        <f>INDEX($AU$22:$AU52,MATCH(AH53+1,$AT$22:$AT52,1))</f>
        <v>19</v>
      </c>
      <c r="AP53">
        <f t="shared" si="16"/>
        <v>22</v>
      </c>
      <c r="AQ53">
        <f>INDEX($AT$22:$AT52,MATCH(AP53,$AU$22:$AU52,1))</f>
        <v>346</v>
      </c>
      <c r="AR53">
        <f t="shared" ref="AR53" si="41">AQ53+AH53</f>
        <v>477</v>
      </c>
      <c r="AT53">
        <f>AT52</f>
        <v>346</v>
      </c>
      <c r="AU53">
        <f>AU52</f>
        <v>22</v>
      </c>
      <c r="AV53" s="1">
        <f>(AE53-AE52-1)*AU52+AU53+AV52</f>
        <v>7152</v>
      </c>
    </row>
    <row r="54" spans="2:48" x14ac:dyDescent="0.25">
      <c r="B54">
        <f t="shared" si="0"/>
        <v>52</v>
      </c>
      <c r="C54">
        <f t="shared" si="4"/>
        <v>651</v>
      </c>
      <c r="D54">
        <f t="shared" si="5"/>
        <v>36</v>
      </c>
      <c r="E54">
        <f t="shared" si="1"/>
        <v>16</v>
      </c>
      <c r="F54">
        <f t="shared" si="2"/>
        <v>16</v>
      </c>
      <c r="H54">
        <f>VLOOKUP(D54+1,nc,5,TRUE)</f>
        <v>15</v>
      </c>
      <c r="I54">
        <f>VLOOKUP(E54,nc,5,TRUE)</f>
        <v>12</v>
      </c>
      <c r="K54">
        <f t="shared" si="6"/>
        <v>36</v>
      </c>
      <c r="L54">
        <f>VLOOKUP(K54,nc,2,FALSE)</f>
        <v>409</v>
      </c>
      <c r="M54">
        <f t="shared" si="7"/>
        <v>16</v>
      </c>
      <c r="N54">
        <f>VLOOKUP(M54,nc,2,FALSE)</f>
        <v>142</v>
      </c>
      <c r="O54">
        <f t="shared" si="8"/>
        <v>651</v>
      </c>
      <c r="Q54">
        <f t="shared" si="9"/>
        <v>37</v>
      </c>
      <c r="R54">
        <f>VLOOKUP(Q54,nc,2,FALSE)</f>
        <v>424</v>
      </c>
      <c r="S54">
        <f t="shared" si="10"/>
        <v>15</v>
      </c>
      <c r="T54">
        <f>VLOOKUP(S54,nc,2,FALSE)</f>
        <v>130</v>
      </c>
      <c r="U54">
        <f t="shared" si="11"/>
        <v>651</v>
      </c>
      <c r="W54">
        <f t="shared" si="12"/>
        <v>12</v>
      </c>
      <c r="X54">
        <f t="shared" si="13"/>
        <v>12</v>
      </c>
      <c r="AE54" s="1">
        <f>AR53</f>
        <v>477</v>
      </c>
      <c r="AF54" t="s">
        <v>2</v>
      </c>
      <c r="AG54">
        <f>AE54-AH54</f>
        <v>345</v>
      </c>
      <c r="AH54">
        <f>AH53+1</f>
        <v>132</v>
      </c>
      <c r="AJ54">
        <f>INDEX($AU$22:$AU53,MATCH(AG54+1,$AT$22:$AT53,1))</f>
        <v>22</v>
      </c>
      <c r="AK54">
        <f t="shared" si="14"/>
        <v>20</v>
      </c>
      <c r="AL54">
        <f>INDEX($AT$22:$AT53,MATCH(AK54,$AU$22:$AU53,1))</f>
        <v>182</v>
      </c>
      <c r="AM54">
        <f t="shared" ref="AM54" si="42">AG54+AL54</f>
        <v>527</v>
      </c>
      <c r="AT54">
        <f>AE54</f>
        <v>477</v>
      </c>
      <c r="AU54">
        <f>AU53+1</f>
        <v>23</v>
      </c>
      <c r="AV54" s="1">
        <f>(AE54-AE53-1)*AU53+AU54+AV53</f>
        <v>9243</v>
      </c>
    </row>
    <row r="55" spans="2:48" x14ac:dyDescent="0.25">
      <c r="B55" s="3">
        <f t="shared" si="0"/>
        <v>53</v>
      </c>
      <c r="C55" s="3">
        <f t="shared" si="4"/>
        <v>667</v>
      </c>
      <c r="D55" s="3">
        <f t="shared" si="5"/>
        <v>36</v>
      </c>
      <c r="E55" s="3">
        <f t="shared" si="1"/>
        <v>17</v>
      </c>
      <c r="F55" s="3">
        <f t="shared" si="2"/>
        <v>16</v>
      </c>
      <c r="G55" s="3"/>
      <c r="H55" s="3">
        <f>VLOOKUP(D55+1,nc,5,TRUE)</f>
        <v>15</v>
      </c>
      <c r="I55" s="3">
        <f>VLOOKUP(E55,nc,5,TRUE)</f>
        <v>12</v>
      </c>
      <c r="J55" s="3"/>
      <c r="K55" s="3">
        <f t="shared" si="6"/>
        <v>36</v>
      </c>
      <c r="L55" s="3">
        <f>VLOOKUP(K55,nc,2,FALSE)</f>
        <v>409</v>
      </c>
      <c r="M55" s="3">
        <f t="shared" si="7"/>
        <v>17</v>
      </c>
      <c r="N55" s="3">
        <f>VLOOKUP(M55,nc,2,FALSE)</f>
        <v>154</v>
      </c>
      <c r="O55" s="3">
        <f t="shared" si="8"/>
        <v>667</v>
      </c>
      <c r="P55" s="3"/>
      <c r="Q55" s="3">
        <f t="shared" si="9"/>
        <v>37</v>
      </c>
      <c r="R55" s="3">
        <f>VLOOKUP(Q55,nc,2,FALSE)</f>
        <v>424</v>
      </c>
      <c r="S55" s="3">
        <f t="shared" si="10"/>
        <v>16</v>
      </c>
      <c r="T55" s="3">
        <f>VLOOKUP(S55,nc,2,FALSE)</f>
        <v>142</v>
      </c>
      <c r="U55" s="3">
        <f t="shared" si="11"/>
        <v>667</v>
      </c>
      <c r="V55" s="3"/>
      <c r="W55" s="3">
        <f t="shared" si="12"/>
        <v>12</v>
      </c>
      <c r="X55" s="3">
        <f t="shared" si="13"/>
        <v>12</v>
      </c>
      <c r="AE55" s="1">
        <f>AM54</f>
        <v>527</v>
      </c>
      <c r="AF55" t="s">
        <v>3</v>
      </c>
      <c r="AG55">
        <f>AG54+1</f>
        <v>346</v>
      </c>
      <c r="AH55">
        <f>AE55-AG55</f>
        <v>181</v>
      </c>
      <c r="AO55">
        <f>INDEX($AU$22:$AU54,MATCH(AH55+1,$AT$22:$AT54,1))</f>
        <v>20</v>
      </c>
      <c r="AP55">
        <f t="shared" si="16"/>
        <v>23</v>
      </c>
      <c r="AQ55">
        <f>INDEX($AT$22:$AT54,MATCH(AP55,$AU$22:$AU54,1))</f>
        <v>477</v>
      </c>
      <c r="AR55">
        <f t="shared" ref="AR55" si="43">AQ55+AH55</f>
        <v>658</v>
      </c>
      <c r="AT55">
        <f>AT54</f>
        <v>477</v>
      </c>
      <c r="AU55">
        <f>AU54</f>
        <v>23</v>
      </c>
      <c r="AV55" s="1">
        <f>(AE55-AE54-1)*AU54+AU55+AV54</f>
        <v>10393</v>
      </c>
    </row>
    <row r="56" spans="2:48" x14ac:dyDescent="0.25">
      <c r="B56">
        <f t="shared" si="0"/>
        <v>54</v>
      </c>
      <c r="C56">
        <f t="shared" si="4"/>
        <v>683</v>
      </c>
      <c r="D56">
        <f t="shared" si="5"/>
        <v>36</v>
      </c>
      <c r="E56">
        <f t="shared" si="1"/>
        <v>18</v>
      </c>
      <c r="F56">
        <f t="shared" si="2"/>
        <v>16</v>
      </c>
      <c r="H56">
        <f>VLOOKUP(D56+1,nc,5,TRUE)</f>
        <v>15</v>
      </c>
      <c r="I56">
        <f>VLOOKUP(E56,nc,5,TRUE)</f>
        <v>12</v>
      </c>
      <c r="K56">
        <f t="shared" si="6"/>
        <v>36</v>
      </c>
      <c r="L56">
        <f>VLOOKUP(K56,nc,2,FALSE)</f>
        <v>409</v>
      </c>
      <c r="M56">
        <f t="shared" si="7"/>
        <v>18</v>
      </c>
      <c r="N56">
        <f>VLOOKUP(M56,nc,2,FALSE)</f>
        <v>166</v>
      </c>
      <c r="O56">
        <f t="shared" si="8"/>
        <v>683</v>
      </c>
      <c r="Q56">
        <f t="shared" si="9"/>
        <v>37</v>
      </c>
      <c r="R56">
        <f>VLOOKUP(Q56,nc,2,FALSE)</f>
        <v>424</v>
      </c>
      <c r="S56">
        <f t="shared" si="10"/>
        <v>17</v>
      </c>
      <c r="T56">
        <f>VLOOKUP(S56,nc,2,FALSE)</f>
        <v>154</v>
      </c>
      <c r="U56">
        <f t="shared" si="11"/>
        <v>683</v>
      </c>
      <c r="W56">
        <f t="shared" si="12"/>
        <v>12</v>
      </c>
      <c r="X56">
        <f t="shared" si="13"/>
        <v>12</v>
      </c>
      <c r="AE56" s="1">
        <f>AR55</f>
        <v>658</v>
      </c>
      <c r="AF56" t="s">
        <v>2</v>
      </c>
      <c r="AG56">
        <f>AE56-AH56</f>
        <v>476</v>
      </c>
      <c r="AH56">
        <f>AH55+1</f>
        <v>182</v>
      </c>
      <c r="AJ56">
        <f>INDEX($AU$22:$AU55,MATCH(AG56+1,$AT$22:$AT55,1))</f>
        <v>23</v>
      </c>
      <c r="AK56">
        <f t="shared" si="14"/>
        <v>21</v>
      </c>
      <c r="AL56">
        <f>INDEX($AT$22:$AT55,MATCH(AK56,$AU$22:$AU55,1))</f>
        <v>251</v>
      </c>
      <c r="AM56">
        <f t="shared" ref="AM56" si="44">AG56+AL56</f>
        <v>727</v>
      </c>
      <c r="AT56">
        <f>AE56</f>
        <v>658</v>
      </c>
      <c r="AU56">
        <f>AU55+1</f>
        <v>24</v>
      </c>
      <c r="AV56" s="1">
        <f>(AE56-AE55-1)*AU55+AU56+AV55</f>
        <v>13407</v>
      </c>
    </row>
    <row r="57" spans="2:48" x14ac:dyDescent="0.25">
      <c r="B57">
        <f t="shared" si="0"/>
        <v>55</v>
      </c>
      <c r="C57">
        <f t="shared" si="4"/>
        <v>699</v>
      </c>
      <c r="D57">
        <f t="shared" si="5"/>
        <v>36</v>
      </c>
      <c r="E57">
        <f t="shared" si="1"/>
        <v>19</v>
      </c>
      <c r="F57">
        <f t="shared" si="2"/>
        <v>16</v>
      </c>
      <c r="H57">
        <f>VLOOKUP(D57+1,nc,5,TRUE)</f>
        <v>15</v>
      </c>
      <c r="I57">
        <f>VLOOKUP(E57,nc,5,TRUE)</f>
        <v>12</v>
      </c>
      <c r="K57">
        <f t="shared" si="6"/>
        <v>36</v>
      </c>
      <c r="L57">
        <f>VLOOKUP(K57,nc,2,FALSE)</f>
        <v>409</v>
      </c>
      <c r="M57">
        <f t="shared" si="7"/>
        <v>19</v>
      </c>
      <c r="N57">
        <f>VLOOKUP(M57,nc,2,FALSE)</f>
        <v>178</v>
      </c>
      <c r="O57">
        <f t="shared" si="8"/>
        <v>699</v>
      </c>
      <c r="Q57">
        <f t="shared" si="9"/>
        <v>37</v>
      </c>
      <c r="R57">
        <f>VLOOKUP(Q57,nc,2,FALSE)</f>
        <v>424</v>
      </c>
      <c r="S57">
        <f t="shared" si="10"/>
        <v>18</v>
      </c>
      <c r="T57">
        <f>VLOOKUP(S57,nc,2,FALSE)</f>
        <v>166</v>
      </c>
      <c r="U57">
        <f t="shared" si="11"/>
        <v>699</v>
      </c>
      <c r="W57">
        <f t="shared" si="12"/>
        <v>12</v>
      </c>
      <c r="X57">
        <f t="shared" si="13"/>
        <v>12</v>
      </c>
      <c r="AE57" s="1">
        <f>AM56</f>
        <v>727</v>
      </c>
      <c r="AF57" t="s">
        <v>3</v>
      </c>
      <c r="AG57">
        <f>AG56+1</f>
        <v>477</v>
      </c>
      <c r="AH57">
        <f>AE57-AG57</f>
        <v>250</v>
      </c>
      <c r="AO57">
        <f>INDEX($AU$22:$AU56,MATCH(AH57+1,$AT$22:$AT56,1))</f>
        <v>21</v>
      </c>
      <c r="AP57">
        <f t="shared" si="16"/>
        <v>24</v>
      </c>
      <c r="AQ57">
        <f>INDEX($AT$22:$AT56,MATCH(AP57,$AU$22:$AU56,1))</f>
        <v>658</v>
      </c>
      <c r="AR57">
        <f t="shared" ref="AR57" si="45">AQ57+AH57</f>
        <v>908</v>
      </c>
      <c r="AT57">
        <f>AT56</f>
        <v>658</v>
      </c>
      <c r="AU57">
        <f>AU56</f>
        <v>24</v>
      </c>
      <c r="AV57" s="1">
        <f>(AE57-AE56-1)*AU56+AU57+AV56</f>
        <v>15063</v>
      </c>
    </row>
    <row r="58" spans="2:48" x14ac:dyDescent="0.25">
      <c r="B58" s="6">
        <f t="shared" si="0"/>
        <v>56</v>
      </c>
      <c r="C58" s="6">
        <f t="shared" si="4"/>
        <v>715</v>
      </c>
      <c r="D58" s="6">
        <f t="shared" si="5"/>
        <v>37</v>
      </c>
      <c r="E58" s="6">
        <f t="shared" si="1"/>
        <v>19</v>
      </c>
      <c r="F58" s="6">
        <f t="shared" si="2"/>
        <v>16</v>
      </c>
      <c r="G58" s="6"/>
      <c r="H58" s="6">
        <f>VLOOKUP(D58+1,nc,5,TRUE)</f>
        <v>15</v>
      </c>
      <c r="I58" s="6">
        <f>VLOOKUP(E58,nc,5,TRUE)</f>
        <v>12</v>
      </c>
      <c r="J58" s="6"/>
      <c r="K58" s="6">
        <f t="shared" si="6"/>
        <v>36</v>
      </c>
      <c r="L58" s="6">
        <f>VLOOKUP(K58,nc,2,FALSE)</f>
        <v>409</v>
      </c>
      <c r="M58" s="6">
        <f>B58-K58</f>
        <v>20</v>
      </c>
      <c r="N58" s="6">
        <f>VLOOKUP(M58,nc,2,FALSE)</f>
        <v>191</v>
      </c>
      <c r="O58" s="6">
        <f t="shared" si="8"/>
        <v>716</v>
      </c>
      <c r="P58" s="6"/>
      <c r="Q58" s="6">
        <f t="shared" si="9"/>
        <v>37</v>
      </c>
      <c r="R58" s="6">
        <f>VLOOKUP(Q58,nc,2,FALSE)</f>
        <v>424</v>
      </c>
      <c r="S58" s="6">
        <f t="shared" si="10"/>
        <v>19</v>
      </c>
      <c r="T58" s="6">
        <f>VLOOKUP(S58,nc,2,FALSE)</f>
        <v>178</v>
      </c>
      <c r="U58" s="6">
        <f t="shared" si="11"/>
        <v>715</v>
      </c>
      <c r="V58" s="6"/>
      <c r="W58" s="6">
        <f>N58-T58</f>
        <v>13</v>
      </c>
      <c r="X58" s="6">
        <f t="shared" si="13"/>
        <v>12</v>
      </c>
      <c r="AE58" s="1">
        <f>AR57</f>
        <v>908</v>
      </c>
      <c r="AF58" t="s">
        <v>2</v>
      </c>
      <c r="AG58">
        <f>AE58-AH58</f>
        <v>657</v>
      </c>
      <c r="AH58">
        <f>AH57+1</f>
        <v>251</v>
      </c>
      <c r="AJ58">
        <f>INDEX($AU$22:$AU57,MATCH(AG58+1,$AT$22:$AT57,1))</f>
        <v>24</v>
      </c>
      <c r="AK58">
        <f t="shared" si="14"/>
        <v>22</v>
      </c>
      <c r="AL58">
        <f>INDEX($AT$22:$AT57,MATCH(AK58,$AU$22:$AU57,1))</f>
        <v>346</v>
      </c>
      <c r="AM58">
        <f t="shared" ref="AM58" si="46">AG58+AL58</f>
        <v>1003</v>
      </c>
      <c r="AT58">
        <f>AE58</f>
        <v>908</v>
      </c>
      <c r="AU58">
        <f>AU57+1</f>
        <v>25</v>
      </c>
      <c r="AV58" s="1">
        <f>(AE58-AE57-1)*AU57+AU58+AV57</f>
        <v>19408</v>
      </c>
    </row>
    <row r="59" spans="2:48" x14ac:dyDescent="0.25">
      <c r="B59">
        <f t="shared" si="0"/>
        <v>57</v>
      </c>
      <c r="C59">
        <f t="shared" si="4"/>
        <v>731</v>
      </c>
      <c r="D59">
        <f t="shared" si="5"/>
        <v>38</v>
      </c>
      <c r="E59" s="6">
        <f t="shared" si="1"/>
        <v>19</v>
      </c>
      <c r="F59">
        <f t="shared" si="2"/>
        <v>16</v>
      </c>
      <c r="H59">
        <f>VLOOKUP(D59+1,nc,5,TRUE)</f>
        <v>15</v>
      </c>
      <c r="I59">
        <f>VLOOKUP(E59,nc,5,TRUE)</f>
        <v>12</v>
      </c>
      <c r="K59">
        <f t="shared" si="6"/>
        <v>37</v>
      </c>
      <c r="L59">
        <f>VLOOKUP(K59,nc,2,FALSE)</f>
        <v>424</v>
      </c>
      <c r="M59">
        <f t="shared" si="7"/>
        <v>20</v>
      </c>
      <c r="N59">
        <f>VLOOKUP(M59,nc,2,FALSE)</f>
        <v>191</v>
      </c>
      <c r="O59">
        <f t="shared" si="8"/>
        <v>732</v>
      </c>
      <c r="Q59">
        <f t="shared" si="9"/>
        <v>38</v>
      </c>
      <c r="R59">
        <f>VLOOKUP(Q59,nc,2,FALSE)</f>
        <v>439</v>
      </c>
      <c r="S59">
        <f t="shared" si="10"/>
        <v>19</v>
      </c>
      <c r="T59">
        <f>VLOOKUP(S59,nc,2,FALSE)</f>
        <v>178</v>
      </c>
      <c r="U59">
        <f t="shared" si="11"/>
        <v>731</v>
      </c>
      <c r="W59">
        <f t="shared" si="12"/>
        <v>13</v>
      </c>
      <c r="X59">
        <f t="shared" si="13"/>
        <v>12</v>
      </c>
      <c r="AE59" s="1">
        <f>AM58</f>
        <v>1003</v>
      </c>
      <c r="AF59" t="s">
        <v>3</v>
      </c>
      <c r="AG59">
        <f>AG58+1</f>
        <v>658</v>
      </c>
      <c r="AH59">
        <f>AE59-AG59</f>
        <v>345</v>
      </c>
      <c r="AO59">
        <f>INDEX($AU$22:$AU58,MATCH(AH59+1,$AT$22:$AT58,1))</f>
        <v>22</v>
      </c>
      <c r="AP59">
        <f t="shared" si="16"/>
        <v>25</v>
      </c>
      <c r="AQ59">
        <f>INDEX($AT$22:$AT58,MATCH(AP59,$AU$22:$AU58,1))</f>
        <v>908</v>
      </c>
      <c r="AR59">
        <f t="shared" ref="AR59" si="47">AQ59+AH59</f>
        <v>1253</v>
      </c>
      <c r="AT59">
        <f>AT58</f>
        <v>908</v>
      </c>
      <c r="AU59">
        <f>AU58</f>
        <v>25</v>
      </c>
      <c r="AV59" s="1">
        <f>(AE59-AE58-1)*AU58+AU59+AV58</f>
        <v>21783</v>
      </c>
    </row>
    <row r="60" spans="2:48" x14ac:dyDescent="0.25">
      <c r="B60">
        <f t="shared" si="0"/>
        <v>58</v>
      </c>
      <c r="C60">
        <f t="shared" si="4"/>
        <v>747</v>
      </c>
      <c r="D60">
        <f t="shared" si="5"/>
        <v>39</v>
      </c>
      <c r="E60" s="6">
        <f t="shared" si="1"/>
        <v>19</v>
      </c>
      <c r="F60">
        <f t="shared" si="2"/>
        <v>16</v>
      </c>
      <c r="H60">
        <f>VLOOKUP(D60+1,nc,5,TRUE)</f>
        <v>15</v>
      </c>
      <c r="I60">
        <f>VLOOKUP(E60,nc,5,TRUE)</f>
        <v>12</v>
      </c>
      <c r="K60">
        <f t="shared" si="6"/>
        <v>38</v>
      </c>
      <c r="L60">
        <f>VLOOKUP(K60,nc,2,FALSE)</f>
        <v>439</v>
      </c>
      <c r="M60">
        <f t="shared" si="7"/>
        <v>20</v>
      </c>
      <c r="N60">
        <f>VLOOKUP(M60,nc,2,FALSE)</f>
        <v>191</v>
      </c>
      <c r="O60">
        <f t="shared" si="8"/>
        <v>748</v>
      </c>
      <c r="Q60">
        <f t="shared" si="9"/>
        <v>39</v>
      </c>
      <c r="R60">
        <f>VLOOKUP(Q60,nc,2,FALSE)</f>
        <v>454</v>
      </c>
      <c r="S60">
        <f t="shared" si="10"/>
        <v>19</v>
      </c>
      <c r="T60">
        <f>VLOOKUP(S60,nc,2,FALSE)</f>
        <v>178</v>
      </c>
      <c r="U60">
        <f t="shared" si="11"/>
        <v>747</v>
      </c>
      <c r="W60">
        <f t="shared" si="12"/>
        <v>13</v>
      </c>
      <c r="X60">
        <f t="shared" si="13"/>
        <v>12</v>
      </c>
      <c r="AE60" s="1">
        <f>AR59</f>
        <v>1253</v>
      </c>
      <c r="AF60" t="s">
        <v>2</v>
      </c>
      <c r="AG60">
        <f>AE60-AH60</f>
        <v>907</v>
      </c>
      <c r="AH60">
        <f>AH59+1</f>
        <v>346</v>
      </c>
      <c r="AJ60">
        <f>INDEX($AU$22:$AU59,MATCH(AG60+1,$AT$22:$AT59,1))</f>
        <v>25</v>
      </c>
      <c r="AK60">
        <f t="shared" si="14"/>
        <v>23</v>
      </c>
      <c r="AL60">
        <f>INDEX($AT$22:$AT59,MATCH(AK60,$AU$22:$AU59,1))</f>
        <v>477</v>
      </c>
      <c r="AM60">
        <f t="shared" ref="AM60" si="48">AG60+AL60</f>
        <v>1384</v>
      </c>
      <c r="AT60">
        <f>AE60</f>
        <v>1253</v>
      </c>
      <c r="AU60">
        <f>AU59+1</f>
        <v>26</v>
      </c>
      <c r="AV60" s="1">
        <f>(AE60-AE59-1)*AU59+AU60+AV59</f>
        <v>28034</v>
      </c>
    </row>
    <row r="61" spans="2:48" x14ac:dyDescent="0.25">
      <c r="B61">
        <f t="shared" si="0"/>
        <v>59</v>
      </c>
      <c r="C61">
        <f t="shared" si="4"/>
        <v>763</v>
      </c>
      <c r="D61">
        <f t="shared" si="5"/>
        <v>40</v>
      </c>
      <c r="E61" s="6">
        <f t="shared" si="1"/>
        <v>19</v>
      </c>
      <c r="F61">
        <f t="shared" si="2"/>
        <v>16</v>
      </c>
      <c r="H61">
        <f>VLOOKUP(D61+1,nc,5,TRUE)</f>
        <v>15</v>
      </c>
      <c r="I61">
        <f>VLOOKUP(E61,nc,5,TRUE)</f>
        <v>12</v>
      </c>
      <c r="K61">
        <f t="shared" si="6"/>
        <v>39</v>
      </c>
      <c r="L61">
        <f>VLOOKUP(K61,nc,2,FALSE)</f>
        <v>454</v>
      </c>
      <c r="M61">
        <f t="shared" si="7"/>
        <v>20</v>
      </c>
      <c r="N61">
        <f>VLOOKUP(M61,nc,2,FALSE)</f>
        <v>191</v>
      </c>
      <c r="O61">
        <f t="shared" si="8"/>
        <v>764</v>
      </c>
      <c r="Q61">
        <f t="shared" si="9"/>
        <v>40</v>
      </c>
      <c r="R61">
        <f>VLOOKUP(Q61,nc,2,FALSE)</f>
        <v>469</v>
      </c>
      <c r="S61">
        <f t="shared" si="10"/>
        <v>19</v>
      </c>
      <c r="T61">
        <f>VLOOKUP(S61,nc,2,FALSE)</f>
        <v>178</v>
      </c>
      <c r="U61">
        <f t="shared" si="11"/>
        <v>763</v>
      </c>
      <c r="W61">
        <f t="shared" si="12"/>
        <v>13</v>
      </c>
      <c r="X61">
        <f t="shared" si="13"/>
        <v>12</v>
      </c>
      <c r="AE61" s="1">
        <f>AM60</f>
        <v>1384</v>
      </c>
      <c r="AF61" t="s">
        <v>3</v>
      </c>
      <c r="AG61">
        <f>AG60+1</f>
        <v>908</v>
      </c>
      <c r="AH61">
        <f>AE61-AG61</f>
        <v>476</v>
      </c>
      <c r="AO61">
        <f>INDEX($AU$22:$AU60,MATCH(AH61+1,$AT$22:$AT60,1))</f>
        <v>23</v>
      </c>
      <c r="AP61">
        <f t="shared" si="16"/>
        <v>26</v>
      </c>
      <c r="AQ61">
        <f>INDEX($AT$22:$AT60,MATCH(AP61,$AU$22:$AU60,1))</f>
        <v>1253</v>
      </c>
      <c r="AR61">
        <f t="shared" ref="AR61" si="49">AQ61+AH61</f>
        <v>1729</v>
      </c>
      <c r="AT61">
        <f>AT60</f>
        <v>1253</v>
      </c>
      <c r="AU61">
        <f>AU60</f>
        <v>26</v>
      </c>
      <c r="AV61" s="1">
        <f>(AE61-AE60-1)*AU60+AU61+AV60</f>
        <v>31440</v>
      </c>
    </row>
    <row r="62" spans="2:48" x14ac:dyDescent="0.25">
      <c r="B62">
        <f t="shared" si="0"/>
        <v>60</v>
      </c>
      <c r="C62">
        <f t="shared" si="4"/>
        <v>779</v>
      </c>
      <c r="D62">
        <f t="shared" si="5"/>
        <v>41</v>
      </c>
      <c r="E62" s="6">
        <f t="shared" si="1"/>
        <v>19</v>
      </c>
      <c r="F62">
        <f t="shared" si="2"/>
        <v>16</v>
      </c>
      <c r="H62">
        <f>VLOOKUP(D62+1,nc,5,TRUE)</f>
        <v>15</v>
      </c>
      <c r="I62">
        <f>VLOOKUP(E62,nc,5,TRUE)</f>
        <v>12</v>
      </c>
      <c r="K62">
        <f t="shared" si="6"/>
        <v>40</v>
      </c>
      <c r="L62">
        <f>VLOOKUP(K62,nc,2,FALSE)</f>
        <v>469</v>
      </c>
      <c r="M62">
        <f t="shared" si="7"/>
        <v>20</v>
      </c>
      <c r="N62">
        <f>VLOOKUP(M62,nc,2,FALSE)</f>
        <v>191</v>
      </c>
      <c r="O62">
        <f t="shared" si="8"/>
        <v>780</v>
      </c>
      <c r="Q62">
        <f t="shared" si="9"/>
        <v>41</v>
      </c>
      <c r="R62">
        <f>VLOOKUP(Q62,nc,2,FALSE)</f>
        <v>484</v>
      </c>
      <c r="S62">
        <f t="shared" si="10"/>
        <v>19</v>
      </c>
      <c r="T62">
        <f>VLOOKUP(S62,nc,2,FALSE)</f>
        <v>178</v>
      </c>
      <c r="U62">
        <f t="shared" si="11"/>
        <v>779</v>
      </c>
      <c r="W62">
        <f t="shared" si="12"/>
        <v>13</v>
      </c>
      <c r="X62">
        <f t="shared" si="13"/>
        <v>12</v>
      </c>
      <c r="AE62" s="1">
        <f>AR61</f>
        <v>1729</v>
      </c>
      <c r="AF62" t="s">
        <v>2</v>
      </c>
      <c r="AG62">
        <f>AE62-AH62</f>
        <v>1252</v>
      </c>
      <c r="AH62">
        <f>AH61+1</f>
        <v>477</v>
      </c>
      <c r="AJ62">
        <f>INDEX($AU$22:$AU61,MATCH(AG62+1,$AT$22:$AT61,1))</f>
        <v>26</v>
      </c>
      <c r="AK62">
        <f t="shared" si="14"/>
        <v>24</v>
      </c>
      <c r="AL62">
        <f>INDEX($AT$22:$AT61,MATCH(AK62,$AU$22:$AU61,1))</f>
        <v>658</v>
      </c>
      <c r="AM62">
        <f t="shared" ref="AM62" si="50">AG62+AL62</f>
        <v>1910</v>
      </c>
      <c r="AT62">
        <f>AE62</f>
        <v>1729</v>
      </c>
      <c r="AU62">
        <f>AU61+1</f>
        <v>27</v>
      </c>
      <c r="AV62" s="1">
        <f>(AE62-AE61-1)*AU61+AU62+AV61</f>
        <v>40411</v>
      </c>
    </row>
    <row r="63" spans="2:48" x14ac:dyDescent="0.25">
      <c r="B63">
        <f t="shared" si="0"/>
        <v>61</v>
      </c>
      <c r="C63">
        <f t="shared" si="4"/>
        <v>795</v>
      </c>
      <c r="D63">
        <f t="shared" si="5"/>
        <v>42</v>
      </c>
      <c r="E63" s="6">
        <f t="shared" si="1"/>
        <v>19</v>
      </c>
      <c r="F63">
        <f t="shared" si="2"/>
        <v>16</v>
      </c>
      <c r="H63">
        <f>VLOOKUP(D63+1,nc,5,TRUE)</f>
        <v>15</v>
      </c>
      <c r="I63">
        <f>VLOOKUP(E63,nc,5,TRUE)</f>
        <v>12</v>
      </c>
      <c r="K63">
        <f t="shared" si="6"/>
        <v>41</v>
      </c>
      <c r="L63">
        <f>VLOOKUP(K63,nc,2,FALSE)</f>
        <v>484</v>
      </c>
      <c r="M63">
        <f t="shared" si="7"/>
        <v>20</v>
      </c>
      <c r="N63">
        <f>VLOOKUP(M63,nc,2,FALSE)</f>
        <v>191</v>
      </c>
      <c r="O63">
        <f t="shared" si="8"/>
        <v>796</v>
      </c>
      <c r="Q63">
        <f t="shared" si="9"/>
        <v>42</v>
      </c>
      <c r="R63">
        <f>VLOOKUP(Q63,nc,2,FALSE)</f>
        <v>499</v>
      </c>
      <c r="S63">
        <f t="shared" si="10"/>
        <v>19</v>
      </c>
      <c r="T63">
        <f>VLOOKUP(S63,nc,2,FALSE)</f>
        <v>178</v>
      </c>
      <c r="U63">
        <f t="shared" si="11"/>
        <v>795</v>
      </c>
      <c r="W63">
        <f t="shared" si="12"/>
        <v>13</v>
      </c>
      <c r="X63">
        <f t="shared" si="13"/>
        <v>12</v>
      </c>
      <c r="AE63" s="1">
        <f>AM62</f>
        <v>1910</v>
      </c>
      <c r="AF63" t="s">
        <v>3</v>
      </c>
      <c r="AG63">
        <f>AG62+1</f>
        <v>1253</v>
      </c>
      <c r="AH63">
        <f>AE63-AG63</f>
        <v>657</v>
      </c>
      <c r="AO63">
        <f>INDEX($AU$22:$AU62,MATCH(AH63+1,$AT$22:$AT62,1))</f>
        <v>24</v>
      </c>
      <c r="AP63">
        <f t="shared" si="16"/>
        <v>27</v>
      </c>
      <c r="AQ63">
        <f>INDEX($AT$22:$AT62,MATCH(AP63,$AU$22:$AU62,1))</f>
        <v>1729</v>
      </c>
      <c r="AR63">
        <f t="shared" ref="AR63" si="51">AQ63+AH63</f>
        <v>2386</v>
      </c>
      <c r="AT63">
        <f>AT62</f>
        <v>1729</v>
      </c>
      <c r="AU63">
        <f>AU62</f>
        <v>27</v>
      </c>
      <c r="AV63" s="1">
        <f>(AE63-AE62-1)*AU62+AU63+AV62</f>
        <v>45298</v>
      </c>
    </row>
    <row r="64" spans="2:48" x14ac:dyDescent="0.25">
      <c r="B64">
        <f t="shared" si="0"/>
        <v>62</v>
      </c>
      <c r="C64">
        <f t="shared" si="4"/>
        <v>811</v>
      </c>
      <c r="D64">
        <f t="shared" si="5"/>
        <v>43</v>
      </c>
      <c r="E64" s="6">
        <f t="shared" si="1"/>
        <v>19</v>
      </c>
      <c r="F64">
        <f t="shared" si="2"/>
        <v>16</v>
      </c>
      <c r="H64">
        <f>VLOOKUP(D64+1,nc,5,TRUE)</f>
        <v>15</v>
      </c>
      <c r="I64">
        <f>VLOOKUP(E64,nc,5,TRUE)</f>
        <v>12</v>
      </c>
      <c r="K64">
        <f t="shared" si="6"/>
        <v>42</v>
      </c>
      <c r="L64">
        <f>VLOOKUP(K64,nc,2,FALSE)</f>
        <v>499</v>
      </c>
      <c r="M64">
        <f t="shared" si="7"/>
        <v>20</v>
      </c>
      <c r="N64">
        <f>VLOOKUP(M64,nc,2,FALSE)</f>
        <v>191</v>
      </c>
      <c r="O64">
        <f t="shared" si="8"/>
        <v>812</v>
      </c>
      <c r="Q64">
        <f t="shared" si="9"/>
        <v>43</v>
      </c>
      <c r="R64">
        <f>VLOOKUP(Q64,nc,2,FALSE)</f>
        <v>514</v>
      </c>
      <c r="S64">
        <f t="shared" si="10"/>
        <v>19</v>
      </c>
      <c r="T64">
        <f>VLOOKUP(S64,nc,2,FALSE)</f>
        <v>178</v>
      </c>
      <c r="U64">
        <f t="shared" si="11"/>
        <v>811</v>
      </c>
      <c r="W64">
        <f t="shared" si="12"/>
        <v>13</v>
      </c>
      <c r="X64">
        <f t="shared" si="13"/>
        <v>12</v>
      </c>
      <c r="AE64" s="1">
        <f>AR63</f>
        <v>2386</v>
      </c>
      <c r="AF64" t="s">
        <v>2</v>
      </c>
      <c r="AG64">
        <f>AE64-AH64</f>
        <v>1728</v>
      </c>
      <c r="AH64">
        <f>AH63+1</f>
        <v>658</v>
      </c>
      <c r="AJ64">
        <f>INDEX($AU$22:$AU63,MATCH(AG64+1,$AT$22:$AT63,1))</f>
        <v>27</v>
      </c>
      <c r="AK64">
        <f t="shared" si="14"/>
        <v>25</v>
      </c>
      <c r="AL64">
        <f>INDEX($AT$22:$AT63,MATCH(AK64,$AU$22:$AU63,1))</f>
        <v>908</v>
      </c>
      <c r="AM64">
        <f t="shared" ref="AM64" si="52">AG64+AL64</f>
        <v>2636</v>
      </c>
      <c r="AT64">
        <f>AE64</f>
        <v>2386</v>
      </c>
      <c r="AU64">
        <f>AU63+1</f>
        <v>28</v>
      </c>
      <c r="AV64" s="1">
        <f>(AE64-AE63-1)*AU63+AU64+AV63</f>
        <v>58151</v>
      </c>
    </row>
    <row r="65" spans="2:48" x14ac:dyDescent="0.25">
      <c r="B65">
        <f t="shared" si="0"/>
        <v>63</v>
      </c>
      <c r="C65">
        <f t="shared" si="4"/>
        <v>827</v>
      </c>
      <c r="D65">
        <f t="shared" si="5"/>
        <v>44</v>
      </c>
      <c r="E65" s="6">
        <f t="shared" si="1"/>
        <v>19</v>
      </c>
      <c r="F65">
        <f t="shared" si="2"/>
        <v>16</v>
      </c>
      <c r="H65">
        <f>VLOOKUP(D65+1,nc,5,TRUE)</f>
        <v>15</v>
      </c>
      <c r="I65">
        <f>VLOOKUP(E65,nc,5,TRUE)</f>
        <v>12</v>
      </c>
      <c r="K65">
        <f t="shared" si="6"/>
        <v>43</v>
      </c>
      <c r="L65">
        <f>VLOOKUP(K65,nc,2,FALSE)</f>
        <v>514</v>
      </c>
      <c r="M65">
        <f t="shared" si="7"/>
        <v>20</v>
      </c>
      <c r="N65">
        <f>VLOOKUP(M65,nc,2,FALSE)</f>
        <v>191</v>
      </c>
      <c r="O65">
        <f t="shared" si="8"/>
        <v>828</v>
      </c>
      <c r="Q65">
        <f t="shared" si="9"/>
        <v>44</v>
      </c>
      <c r="R65">
        <f>VLOOKUP(Q65,nc,2,FALSE)</f>
        <v>529</v>
      </c>
      <c r="S65">
        <f t="shared" si="10"/>
        <v>19</v>
      </c>
      <c r="T65">
        <f>VLOOKUP(S65,nc,2,FALSE)</f>
        <v>178</v>
      </c>
      <c r="U65">
        <f t="shared" si="11"/>
        <v>827</v>
      </c>
      <c r="W65">
        <f t="shared" si="12"/>
        <v>13</v>
      </c>
      <c r="X65">
        <f t="shared" si="13"/>
        <v>12</v>
      </c>
      <c r="AE65" s="1">
        <f>AM64</f>
        <v>2636</v>
      </c>
      <c r="AF65" t="s">
        <v>3</v>
      </c>
      <c r="AG65">
        <f>AG64+1</f>
        <v>1729</v>
      </c>
      <c r="AH65">
        <f>AE65-AG65</f>
        <v>907</v>
      </c>
      <c r="AO65">
        <f>INDEX($AU$22:$AU64,MATCH(AH65+1,$AT$22:$AT64,1))</f>
        <v>25</v>
      </c>
      <c r="AP65">
        <f t="shared" si="16"/>
        <v>28</v>
      </c>
      <c r="AQ65">
        <f>INDEX($AT$22:$AT64,MATCH(AP65,$AU$22:$AU64,1))</f>
        <v>2386</v>
      </c>
      <c r="AR65">
        <f t="shared" ref="AR65" si="53">AQ65+AH65</f>
        <v>3293</v>
      </c>
      <c r="AT65">
        <f>AT64</f>
        <v>2386</v>
      </c>
      <c r="AU65">
        <f>AU64</f>
        <v>28</v>
      </c>
      <c r="AV65" s="1">
        <f>(AE65-AE64-1)*AU64+AU65+AV64</f>
        <v>65151</v>
      </c>
    </row>
    <row r="66" spans="2:48" x14ac:dyDescent="0.25">
      <c r="B66">
        <f t="shared" si="0"/>
        <v>64</v>
      </c>
      <c r="C66">
        <f t="shared" si="4"/>
        <v>843</v>
      </c>
      <c r="D66">
        <f t="shared" si="5"/>
        <v>45</v>
      </c>
      <c r="E66" s="6">
        <f t="shared" si="1"/>
        <v>19</v>
      </c>
      <c r="F66">
        <f t="shared" si="2"/>
        <v>16</v>
      </c>
      <c r="H66">
        <f>VLOOKUP(D66+1,nc,5,TRUE)</f>
        <v>15</v>
      </c>
      <c r="I66">
        <f>VLOOKUP(E66,nc,5,TRUE)</f>
        <v>12</v>
      </c>
      <c r="K66">
        <f t="shared" si="6"/>
        <v>44</v>
      </c>
      <c r="L66">
        <f>VLOOKUP(K66,nc,2,FALSE)</f>
        <v>529</v>
      </c>
      <c r="M66">
        <f t="shared" si="7"/>
        <v>20</v>
      </c>
      <c r="N66">
        <f>VLOOKUP(M66,nc,2,FALSE)</f>
        <v>191</v>
      </c>
      <c r="O66">
        <f t="shared" si="8"/>
        <v>844</v>
      </c>
      <c r="Q66">
        <f t="shared" si="9"/>
        <v>45</v>
      </c>
      <c r="R66">
        <f>VLOOKUP(Q66,nc,2,FALSE)</f>
        <v>544</v>
      </c>
      <c r="S66">
        <f t="shared" si="10"/>
        <v>19</v>
      </c>
      <c r="T66">
        <f>VLOOKUP(S66,nc,2,FALSE)</f>
        <v>178</v>
      </c>
      <c r="U66">
        <f t="shared" si="11"/>
        <v>843</v>
      </c>
      <c r="W66">
        <f t="shared" si="12"/>
        <v>13</v>
      </c>
      <c r="X66">
        <f t="shared" si="13"/>
        <v>12</v>
      </c>
      <c r="AE66" s="1">
        <f>AR65</f>
        <v>3293</v>
      </c>
      <c r="AF66" t="s">
        <v>2</v>
      </c>
      <c r="AG66">
        <f>AE66-AH66</f>
        <v>2385</v>
      </c>
      <c r="AH66">
        <f>AH65+1</f>
        <v>908</v>
      </c>
      <c r="AJ66">
        <f>INDEX($AU$22:$AU65,MATCH(AG66+1,$AT$22:$AT65,1))</f>
        <v>28</v>
      </c>
      <c r="AK66">
        <f t="shared" si="14"/>
        <v>26</v>
      </c>
      <c r="AL66">
        <f>INDEX($AT$22:$AT65,MATCH(AK66,$AU$22:$AU65,1))</f>
        <v>1253</v>
      </c>
      <c r="AM66">
        <f t="shared" ref="AM66" si="54">AG66+AL66</f>
        <v>3638</v>
      </c>
      <c r="AT66">
        <f>AE66</f>
        <v>3293</v>
      </c>
      <c r="AU66">
        <f>AU65+1</f>
        <v>29</v>
      </c>
      <c r="AV66" s="1">
        <f>(AE66-AE65-1)*AU65+AU66+AV65</f>
        <v>83548</v>
      </c>
    </row>
    <row r="67" spans="2:48" x14ac:dyDescent="0.25">
      <c r="B67">
        <f t="shared" si="0"/>
        <v>65</v>
      </c>
      <c r="C67">
        <f t="shared" si="4"/>
        <v>859</v>
      </c>
      <c r="D67">
        <f t="shared" si="5"/>
        <v>46</v>
      </c>
      <c r="E67" s="6">
        <f t="shared" si="1"/>
        <v>19</v>
      </c>
      <c r="F67">
        <f t="shared" si="2"/>
        <v>16</v>
      </c>
      <c r="H67">
        <f>VLOOKUP(D67+1,nc,5,TRUE)</f>
        <v>15</v>
      </c>
      <c r="I67">
        <f>VLOOKUP(E67,nc,5,TRUE)</f>
        <v>12</v>
      </c>
      <c r="K67">
        <f t="shared" si="6"/>
        <v>45</v>
      </c>
      <c r="L67">
        <f>VLOOKUP(K67,nc,2,FALSE)</f>
        <v>544</v>
      </c>
      <c r="M67">
        <f t="shared" si="7"/>
        <v>20</v>
      </c>
      <c r="N67">
        <f>VLOOKUP(M67,nc,2,FALSE)</f>
        <v>191</v>
      </c>
      <c r="O67">
        <f t="shared" si="8"/>
        <v>860</v>
      </c>
      <c r="Q67">
        <f t="shared" si="9"/>
        <v>46</v>
      </c>
      <c r="R67">
        <f>VLOOKUP(Q67,nc,2,FALSE)</f>
        <v>559</v>
      </c>
      <c r="S67">
        <f t="shared" si="10"/>
        <v>19</v>
      </c>
      <c r="T67">
        <f>VLOOKUP(S67,nc,2,FALSE)</f>
        <v>178</v>
      </c>
      <c r="U67">
        <f t="shared" si="11"/>
        <v>859</v>
      </c>
      <c r="W67">
        <f t="shared" si="12"/>
        <v>13</v>
      </c>
      <c r="X67">
        <f t="shared" si="13"/>
        <v>12</v>
      </c>
      <c r="AE67" s="1">
        <f>AM66</f>
        <v>3638</v>
      </c>
      <c r="AF67" t="s">
        <v>3</v>
      </c>
      <c r="AG67">
        <f>AG66+1</f>
        <v>2386</v>
      </c>
      <c r="AH67">
        <f>AE67-AG67</f>
        <v>1252</v>
      </c>
      <c r="AO67">
        <f>INDEX($AU$22:$AU66,MATCH(AH67+1,$AT$22:$AT66,1))</f>
        <v>26</v>
      </c>
      <c r="AP67">
        <f t="shared" si="16"/>
        <v>29</v>
      </c>
      <c r="AQ67">
        <f>INDEX($AT$22:$AT66,MATCH(AP67,$AU$22:$AU66,1))</f>
        <v>3293</v>
      </c>
      <c r="AR67">
        <f t="shared" ref="AR67" si="55">AQ67+AH67</f>
        <v>4545</v>
      </c>
      <c r="AT67">
        <f>AT66</f>
        <v>3293</v>
      </c>
      <c r="AU67">
        <f>AU66</f>
        <v>29</v>
      </c>
      <c r="AV67" s="1">
        <f>(AE67-AE66-1)*AU66+AU67+AV66</f>
        <v>93553</v>
      </c>
    </row>
    <row r="68" spans="2:48" x14ac:dyDescent="0.25">
      <c r="B68">
        <f t="shared" ref="B68:B131" si="56">B67+1</f>
        <v>66</v>
      </c>
      <c r="C68">
        <f t="shared" si="4"/>
        <v>875</v>
      </c>
      <c r="D68">
        <f t="shared" si="5"/>
        <v>47</v>
      </c>
      <c r="E68" s="6">
        <f t="shared" si="1"/>
        <v>19</v>
      </c>
      <c r="F68">
        <f t="shared" si="2"/>
        <v>16</v>
      </c>
      <c r="H68">
        <f>VLOOKUP(D68+1,nc,5,TRUE)</f>
        <v>15</v>
      </c>
      <c r="I68">
        <f>VLOOKUP(E68,nc,5,TRUE)</f>
        <v>12</v>
      </c>
      <c r="K68">
        <f t="shared" si="6"/>
        <v>46</v>
      </c>
      <c r="L68">
        <f>VLOOKUP(K68,nc,2,FALSE)</f>
        <v>559</v>
      </c>
      <c r="M68">
        <f t="shared" si="7"/>
        <v>20</v>
      </c>
      <c r="N68">
        <f>VLOOKUP(M68,nc,2,FALSE)</f>
        <v>191</v>
      </c>
      <c r="O68">
        <f t="shared" si="8"/>
        <v>876</v>
      </c>
      <c r="Q68">
        <f t="shared" si="9"/>
        <v>47</v>
      </c>
      <c r="R68">
        <f>VLOOKUP(Q68,nc,2,FALSE)</f>
        <v>574</v>
      </c>
      <c r="S68">
        <f t="shared" si="10"/>
        <v>19</v>
      </c>
      <c r="T68">
        <f>VLOOKUP(S68,nc,2,FALSE)</f>
        <v>178</v>
      </c>
      <c r="U68">
        <f t="shared" si="11"/>
        <v>875</v>
      </c>
      <c r="W68">
        <f t="shared" si="12"/>
        <v>13</v>
      </c>
      <c r="X68">
        <f t="shared" si="13"/>
        <v>12</v>
      </c>
      <c r="AE68" s="1">
        <f>AR67</f>
        <v>4545</v>
      </c>
      <c r="AF68" t="s">
        <v>2</v>
      </c>
      <c r="AG68">
        <f>AE68-AH68</f>
        <v>3292</v>
      </c>
      <c r="AH68">
        <f>AH67+1</f>
        <v>1253</v>
      </c>
      <c r="AJ68">
        <f>INDEX($AU$22:$AU67,MATCH(AG68+1,$AT$22:$AT67,1))</f>
        <v>29</v>
      </c>
      <c r="AK68">
        <f t="shared" si="14"/>
        <v>27</v>
      </c>
      <c r="AL68">
        <f>INDEX($AT$22:$AT67,MATCH(AK68,$AU$22:$AU67,1))</f>
        <v>1729</v>
      </c>
      <c r="AM68">
        <f t="shared" ref="AM68" si="57">AG68+AL68</f>
        <v>5021</v>
      </c>
      <c r="AT68">
        <f>AE68</f>
        <v>4545</v>
      </c>
      <c r="AU68">
        <f>AU67+1</f>
        <v>30</v>
      </c>
      <c r="AV68" s="1">
        <f>(AE68-AE67-1)*AU67+AU68+AV67</f>
        <v>119857</v>
      </c>
    </row>
    <row r="69" spans="2:48" x14ac:dyDescent="0.25">
      <c r="B69">
        <f t="shared" si="56"/>
        <v>67</v>
      </c>
      <c r="C69">
        <f t="shared" si="4"/>
        <v>891</v>
      </c>
      <c r="D69">
        <f t="shared" si="5"/>
        <v>48</v>
      </c>
      <c r="E69" s="6">
        <f t="shared" ref="E69:E132" si="58">B69-D69</f>
        <v>19</v>
      </c>
      <c r="F69">
        <f t="shared" ref="F69:F132" si="59">C69-C68</f>
        <v>16</v>
      </c>
      <c r="H69">
        <f>VLOOKUP(D69+1,nc,5,TRUE)</f>
        <v>15</v>
      </c>
      <c r="I69">
        <f>VLOOKUP(E69,nc,5,TRUE)</f>
        <v>12</v>
      </c>
      <c r="K69">
        <f t="shared" si="6"/>
        <v>47</v>
      </c>
      <c r="L69">
        <f>VLOOKUP(K69,nc,2,FALSE)</f>
        <v>574</v>
      </c>
      <c r="M69">
        <f t="shared" si="7"/>
        <v>20</v>
      </c>
      <c r="N69">
        <f>VLOOKUP(M69,nc,2,FALSE)</f>
        <v>191</v>
      </c>
      <c r="O69">
        <f t="shared" si="8"/>
        <v>892</v>
      </c>
      <c r="Q69">
        <f t="shared" si="9"/>
        <v>48</v>
      </c>
      <c r="R69">
        <f>VLOOKUP(Q69,nc,2,FALSE)</f>
        <v>589</v>
      </c>
      <c r="S69">
        <f t="shared" si="10"/>
        <v>19</v>
      </c>
      <c r="T69">
        <f>VLOOKUP(S69,nc,2,FALSE)</f>
        <v>178</v>
      </c>
      <c r="U69">
        <f t="shared" si="11"/>
        <v>891</v>
      </c>
      <c r="W69">
        <f t="shared" si="12"/>
        <v>13</v>
      </c>
      <c r="X69">
        <f t="shared" si="13"/>
        <v>12</v>
      </c>
      <c r="AE69" s="1">
        <f>AM68</f>
        <v>5021</v>
      </c>
      <c r="AF69" t="s">
        <v>3</v>
      </c>
      <c r="AG69">
        <f>AG68+1</f>
        <v>3293</v>
      </c>
      <c r="AH69">
        <f>AE69-AG69</f>
        <v>1728</v>
      </c>
      <c r="AO69">
        <f>INDEX($AU$22:$AU68,MATCH(AH69+1,$AT$22:$AT68,1))</f>
        <v>27</v>
      </c>
      <c r="AP69">
        <f t="shared" si="16"/>
        <v>30</v>
      </c>
      <c r="AQ69">
        <f>INDEX($AT$22:$AT68,MATCH(AP69,$AU$22:$AU68,1))</f>
        <v>4545</v>
      </c>
      <c r="AR69">
        <f t="shared" ref="AR69" si="60">AQ69+AH69</f>
        <v>6273</v>
      </c>
      <c r="AT69">
        <f>AT68</f>
        <v>4545</v>
      </c>
      <c r="AU69">
        <f>AU68</f>
        <v>30</v>
      </c>
      <c r="AV69" s="1">
        <f>(AE69-AE68-1)*AU68+AU69+AV68</f>
        <v>134137</v>
      </c>
    </row>
    <row r="70" spans="2:48" x14ac:dyDescent="0.25">
      <c r="B70">
        <f t="shared" si="56"/>
        <v>68</v>
      </c>
      <c r="C70">
        <f t="shared" ref="C70:C133" si="61">MIN(O70,U70)</f>
        <v>907</v>
      </c>
      <c r="D70">
        <f t="shared" ref="D70:D133" si="62">IF(O70&lt;=U70,K70,Q70)</f>
        <v>49</v>
      </c>
      <c r="E70" s="6">
        <f t="shared" si="58"/>
        <v>19</v>
      </c>
      <c r="F70">
        <f t="shared" si="59"/>
        <v>16</v>
      </c>
      <c r="H70">
        <f>VLOOKUP(D70+1,nc,5,TRUE)</f>
        <v>15</v>
      </c>
      <c r="I70">
        <f>VLOOKUP(E70,nc,5,TRUE)</f>
        <v>12</v>
      </c>
      <c r="K70">
        <f t="shared" ref="K70:K133" si="63">D69</f>
        <v>48</v>
      </c>
      <c r="L70">
        <f>VLOOKUP(K70,nc,2,FALSE)</f>
        <v>589</v>
      </c>
      <c r="M70">
        <f t="shared" ref="M70:M133" si="64">B70-K70</f>
        <v>20</v>
      </c>
      <c r="N70">
        <f>VLOOKUP(M70,nc,2,FALSE)</f>
        <v>191</v>
      </c>
      <c r="O70">
        <f t="shared" ref="O70:O133" si="65">K70+L70+4*M70+N70</f>
        <v>908</v>
      </c>
      <c r="Q70">
        <f t="shared" ref="Q70:Q133" si="66">K70+1</f>
        <v>49</v>
      </c>
      <c r="R70">
        <f>VLOOKUP(Q70,nc,2,FALSE)</f>
        <v>604</v>
      </c>
      <c r="S70">
        <f t="shared" ref="S70:S133" si="67">B70-Q70</f>
        <v>19</v>
      </c>
      <c r="T70">
        <f>VLOOKUP(S70,nc,2,FALSE)</f>
        <v>178</v>
      </c>
      <c r="U70">
        <f t="shared" ref="U70:U133" si="68">Q70+R70+4*S70+T70</f>
        <v>907</v>
      </c>
      <c r="W70">
        <f t="shared" ref="W70:W133" si="69">N70-T70</f>
        <v>13</v>
      </c>
      <c r="X70">
        <f t="shared" ref="X70:X133" si="70">R70-L70-3</f>
        <v>12</v>
      </c>
      <c r="AE70" s="1">
        <f>AR69</f>
        <v>6273</v>
      </c>
      <c r="AF70" t="s">
        <v>2</v>
      </c>
      <c r="AG70">
        <f>AE70-AH70</f>
        <v>4544</v>
      </c>
      <c r="AH70">
        <f>AH69+1</f>
        <v>1729</v>
      </c>
      <c r="AJ70">
        <f>INDEX($AU$22:$AU69,MATCH(AG70+1,$AT$22:$AT69,1))</f>
        <v>30</v>
      </c>
      <c r="AK70">
        <f t="shared" si="14"/>
        <v>28</v>
      </c>
      <c r="AL70">
        <f>INDEX($AT$22:$AT69,MATCH(AK70,$AU$22:$AU69,1))</f>
        <v>2386</v>
      </c>
      <c r="AM70">
        <f t="shared" ref="AM70" si="71">AG70+AL70</f>
        <v>6930</v>
      </c>
      <c r="AT70">
        <f>AE70</f>
        <v>6273</v>
      </c>
      <c r="AU70">
        <f>AU69+1</f>
        <v>31</v>
      </c>
      <c r="AV70" s="1">
        <f>(AE70-AE69-1)*AU69+AU70+AV69</f>
        <v>171698</v>
      </c>
    </row>
    <row r="71" spans="2:48" x14ac:dyDescent="0.25">
      <c r="B71">
        <f t="shared" si="56"/>
        <v>69</v>
      </c>
      <c r="C71">
        <f t="shared" si="61"/>
        <v>923</v>
      </c>
      <c r="D71">
        <f t="shared" si="62"/>
        <v>50</v>
      </c>
      <c r="E71" s="6">
        <f t="shared" si="58"/>
        <v>19</v>
      </c>
      <c r="F71">
        <f t="shared" si="59"/>
        <v>16</v>
      </c>
      <c r="H71">
        <f>VLOOKUP(D71+1,nc,5,TRUE)</f>
        <v>16</v>
      </c>
      <c r="I71">
        <f>VLOOKUP(E71,nc,5,TRUE)</f>
        <v>12</v>
      </c>
      <c r="K71">
        <f t="shared" si="63"/>
        <v>49</v>
      </c>
      <c r="L71">
        <f>VLOOKUP(K71,nc,2,FALSE)</f>
        <v>604</v>
      </c>
      <c r="M71">
        <f t="shared" si="64"/>
        <v>20</v>
      </c>
      <c r="N71">
        <f>VLOOKUP(M71,nc,2,FALSE)</f>
        <v>191</v>
      </c>
      <c r="O71">
        <f t="shared" si="65"/>
        <v>924</v>
      </c>
      <c r="Q71">
        <f t="shared" si="66"/>
        <v>50</v>
      </c>
      <c r="R71">
        <f>VLOOKUP(Q71,nc,2,FALSE)</f>
        <v>619</v>
      </c>
      <c r="S71">
        <f t="shared" si="67"/>
        <v>19</v>
      </c>
      <c r="T71">
        <f>VLOOKUP(S71,nc,2,FALSE)</f>
        <v>178</v>
      </c>
      <c r="U71">
        <f t="shared" si="68"/>
        <v>923</v>
      </c>
      <c r="W71">
        <f t="shared" si="69"/>
        <v>13</v>
      </c>
      <c r="X71">
        <f t="shared" si="70"/>
        <v>12</v>
      </c>
      <c r="AE71" s="1">
        <f>AM70</f>
        <v>6930</v>
      </c>
      <c r="AF71" t="s">
        <v>3</v>
      </c>
      <c r="AG71">
        <f>AG70+1</f>
        <v>4545</v>
      </c>
      <c r="AH71">
        <f>AE71-AG71</f>
        <v>2385</v>
      </c>
      <c r="AO71">
        <f>INDEX($AU$22:$AU70,MATCH(AH71+1,$AT$22:$AT70,1))</f>
        <v>28</v>
      </c>
      <c r="AP71">
        <f t="shared" si="16"/>
        <v>31</v>
      </c>
      <c r="AQ71">
        <f>INDEX($AT$22:$AT70,MATCH(AP71,$AU$22:$AU70,1))</f>
        <v>6273</v>
      </c>
      <c r="AR71">
        <f t="shared" ref="AR71" si="72">AQ71+AH71</f>
        <v>8658</v>
      </c>
      <c r="AT71">
        <f>AT70</f>
        <v>6273</v>
      </c>
      <c r="AU71">
        <f>AU70</f>
        <v>31</v>
      </c>
      <c r="AV71" s="1">
        <f>(AE71-AE70-1)*AU70+AU71+AV70</f>
        <v>192065</v>
      </c>
    </row>
    <row r="72" spans="2:48" x14ac:dyDescent="0.25">
      <c r="B72" s="6">
        <f t="shared" si="56"/>
        <v>70</v>
      </c>
      <c r="C72" s="6">
        <f t="shared" si="61"/>
        <v>940</v>
      </c>
      <c r="D72" s="6">
        <f t="shared" si="62"/>
        <v>50</v>
      </c>
      <c r="E72" s="6">
        <f t="shared" si="58"/>
        <v>20</v>
      </c>
      <c r="F72" s="6">
        <f t="shared" si="59"/>
        <v>17</v>
      </c>
      <c r="G72" s="6"/>
      <c r="H72" s="6">
        <f>VLOOKUP(D72+1,nc,5,TRUE)</f>
        <v>16</v>
      </c>
      <c r="I72" s="6">
        <f>VLOOKUP(E72,nc,5,TRUE)</f>
        <v>13</v>
      </c>
      <c r="J72" s="6"/>
      <c r="K72" s="6">
        <f>D71</f>
        <v>50</v>
      </c>
      <c r="L72" s="6">
        <f>VLOOKUP(K72,nc,2,FALSE)</f>
        <v>619</v>
      </c>
      <c r="M72" s="6">
        <f t="shared" si="64"/>
        <v>20</v>
      </c>
      <c r="N72" s="6">
        <f>VLOOKUP(M72,nc,2,FALSE)</f>
        <v>191</v>
      </c>
      <c r="O72" s="6">
        <f t="shared" si="65"/>
        <v>940</v>
      </c>
      <c r="P72" s="6"/>
      <c r="Q72" s="6">
        <f t="shared" si="66"/>
        <v>51</v>
      </c>
      <c r="R72" s="6">
        <f>VLOOKUP(Q72,nc,2,FALSE)</f>
        <v>635</v>
      </c>
      <c r="S72" s="6">
        <f t="shared" si="67"/>
        <v>19</v>
      </c>
      <c r="T72" s="6">
        <f>VLOOKUP(S72,nc,2,FALSE)</f>
        <v>178</v>
      </c>
      <c r="U72" s="6">
        <f t="shared" si="68"/>
        <v>940</v>
      </c>
      <c r="V72" s="6"/>
      <c r="W72" s="6">
        <f t="shared" si="69"/>
        <v>13</v>
      </c>
      <c r="X72" s="6">
        <f t="shared" si="70"/>
        <v>13</v>
      </c>
      <c r="AE72" s="1">
        <f>AR71</f>
        <v>8658</v>
      </c>
      <c r="AF72" t="s">
        <v>2</v>
      </c>
      <c r="AG72">
        <f>AE72-AH72</f>
        <v>6272</v>
      </c>
      <c r="AH72">
        <f>AH71+1</f>
        <v>2386</v>
      </c>
      <c r="AJ72">
        <f>INDEX($AU$22:$AU71,MATCH(AG72+1,$AT$22:$AT71,1))</f>
        <v>31</v>
      </c>
      <c r="AK72">
        <f t="shared" si="14"/>
        <v>29</v>
      </c>
      <c r="AL72">
        <f>INDEX($AT$22:$AT71,MATCH(AK72,$AU$22:$AU71,1))</f>
        <v>3293</v>
      </c>
      <c r="AM72">
        <f t="shared" ref="AM72" si="73">AG72+AL72</f>
        <v>9565</v>
      </c>
      <c r="AT72">
        <f>AE72</f>
        <v>8658</v>
      </c>
      <c r="AU72">
        <f>AU71+1</f>
        <v>32</v>
      </c>
      <c r="AV72" s="1">
        <f>(AE72-AE71-1)*AU71+AU72+AV71</f>
        <v>245634</v>
      </c>
    </row>
    <row r="73" spans="2:48" x14ac:dyDescent="0.25">
      <c r="B73">
        <f t="shared" si="56"/>
        <v>71</v>
      </c>
      <c r="C73">
        <f t="shared" si="61"/>
        <v>957</v>
      </c>
      <c r="D73" s="6">
        <f t="shared" si="62"/>
        <v>50</v>
      </c>
      <c r="E73">
        <f t="shared" si="58"/>
        <v>21</v>
      </c>
      <c r="F73">
        <f t="shared" si="59"/>
        <v>17</v>
      </c>
      <c r="H73">
        <f>VLOOKUP(D73+1,nc,5,TRUE)</f>
        <v>16</v>
      </c>
      <c r="I73">
        <f>VLOOKUP(E73,nc,5,TRUE)</f>
        <v>13</v>
      </c>
      <c r="K73">
        <f t="shared" si="63"/>
        <v>50</v>
      </c>
      <c r="L73">
        <f>VLOOKUP(K73,nc,2,FALSE)</f>
        <v>619</v>
      </c>
      <c r="M73">
        <f t="shared" si="64"/>
        <v>21</v>
      </c>
      <c r="N73">
        <f>VLOOKUP(M73,nc,2,FALSE)</f>
        <v>204</v>
      </c>
      <c r="O73">
        <f t="shared" si="65"/>
        <v>957</v>
      </c>
      <c r="Q73">
        <f t="shared" si="66"/>
        <v>51</v>
      </c>
      <c r="R73">
        <f>VLOOKUP(Q73,nc,2,FALSE)</f>
        <v>635</v>
      </c>
      <c r="S73">
        <f t="shared" si="67"/>
        <v>20</v>
      </c>
      <c r="T73">
        <f>VLOOKUP(S73,nc,2,FALSE)</f>
        <v>191</v>
      </c>
      <c r="U73">
        <f t="shared" si="68"/>
        <v>957</v>
      </c>
      <c r="W73">
        <f t="shared" si="69"/>
        <v>13</v>
      </c>
      <c r="X73">
        <f t="shared" si="70"/>
        <v>13</v>
      </c>
      <c r="AE73" s="1">
        <f>AM72</f>
        <v>9565</v>
      </c>
      <c r="AF73" t="s">
        <v>3</v>
      </c>
      <c r="AG73">
        <f>AG72+1</f>
        <v>6273</v>
      </c>
      <c r="AH73">
        <f>AE73-AG73</f>
        <v>3292</v>
      </c>
      <c r="AO73">
        <f>INDEX($AU$22:$AU72,MATCH(AH73+1,$AT$22:$AT72,1))</f>
        <v>29</v>
      </c>
      <c r="AP73">
        <f t="shared" si="16"/>
        <v>32</v>
      </c>
      <c r="AQ73">
        <f>INDEX($AT$22:$AT72,MATCH(AP73,$AU$22:$AU72,1))</f>
        <v>8658</v>
      </c>
      <c r="AR73">
        <f t="shared" ref="AR73" si="74">AQ73+AH73</f>
        <v>11950</v>
      </c>
      <c r="AT73">
        <f>AT72</f>
        <v>8658</v>
      </c>
      <c r="AU73">
        <f>AU72</f>
        <v>32</v>
      </c>
      <c r="AV73" s="1">
        <f>(AE73-AE72-1)*AU72+AU73+AV72</f>
        <v>274658</v>
      </c>
    </row>
    <row r="74" spans="2:48" x14ac:dyDescent="0.25">
      <c r="B74">
        <f t="shared" si="56"/>
        <v>72</v>
      </c>
      <c r="C74">
        <f t="shared" si="61"/>
        <v>974</v>
      </c>
      <c r="D74" s="6">
        <f t="shared" si="62"/>
        <v>50</v>
      </c>
      <c r="E74">
        <f t="shared" si="58"/>
        <v>22</v>
      </c>
      <c r="F74">
        <f t="shared" si="59"/>
        <v>17</v>
      </c>
      <c r="H74">
        <f>VLOOKUP(D74+1,nc,5,TRUE)</f>
        <v>16</v>
      </c>
      <c r="I74">
        <f>VLOOKUP(E74,nc,5,TRUE)</f>
        <v>13</v>
      </c>
      <c r="K74">
        <f t="shared" si="63"/>
        <v>50</v>
      </c>
      <c r="L74">
        <f>VLOOKUP(K74,nc,2,FALSE)</f>
        <v>619</v>
      </c>
      <c r="M74">
        <f t="shared" si="64"/>
        <v>22</v>
      </c>
      <c r="N74">
        <f>VLOOKUP(M74,nc,2,FALSE)</f>
        <v>217</v>
      </c>
      <c r="O74">
        <f t="shared" si="65"/>
        <v>974</v>
      </c>
      <c r="Q74">
        <f t="shared" si="66"/>
        <v>51</v>
      </c>
      <c r="R74">
        <f>VLOOKUP(Q74,nc,2,FALSE)</f>
        <v>635</v>
      </c>
      <c r="S74">
        <f t="shared" si="67"/>
        <v>21</v>
      </c>
      <c r="T74">
        <f>VLOOKUP(S74,nc,2,FALSE)</f>
        <v>204</v>
      </c>
      <c r="U74">
        <f t="shared" si="68"/>
        <v>974</v>
      </c>
      <c r="W74">
        <f t="shared" si="69"/>
        <v>13</v>
      </c>
      <c r="X74">
        <f t="shared" si="70"/>
        <v>13</v>
      </c>
      <c r="AE74" s="1">
        <f>AR73</f>
        <v>11950</v>
      </c>
      <c r="AF74" t="s">
        <v>2</v>
      </c>
      <c r="AG74">
        <f>AE74-AH74</f>
        <v>8657</v>
      </c>
      <c r="AH74">
        <f>AH73+1</f>
        <v>3293</v>
      </c>
      <c r="AJ74">
        <f>INDEX($AU$22:$AU73,MATCH(AG74+1,$AT$22:$AT73,1))</f>
        <v>32</v>
      </c>
      <c r="AK74">
        <f t="shared" si="14"/>
        <v>30</v>
      </c>
      <c r="AL74">
        <f>INDEX($AT$22:$AT73,MATCH(AK74,$AU$22:$AU73,1))</f>
        <v>4545</v>
      </c>
      <c r="AM74">
        <f t="shared" ref="AM74" si="75">AG74+AL74</f>
        <v>13202</v>
      </c>
      <c r="AT74">
        <f>AE74</f>
        <v>11950</v>
      </c>
      <c r="AU74">
        <f>AU73+1</f>
        <v>33</v>
      </c>
      <c r="AV74" s="1">
        <f>(AE74-AE73-1)*AU73+AU74+AV73</f>
        <v>350979</v>
      </c>
    </row>
    <row r="75" spans="2:48" x14ac:dyDescent="0.25">
      <c r="B75">
        <f t="shared" si="56"/>
        <v>73</v>
      </c>
      <c r="C75">
        <f t="shared" si="61"/>
        <v>991</v>
      </c>
      <c r="D75" s="6">
        <f t="shared" si="62"/>
        <v>50</v>
      </c>
      <c r="E75">
        <f t="shared" si="58"/>
        <v>23</v>
      </c>
      <c r="F75">
        <f t="shared" si="59"/>
        <v>17</v>
      </c>
      <c r="H75">
        <f>VLOOKUP(D75+1,nc,5,TRUE)</f>
        <v>16</v>
      </c>
      <c r="I75">
        <f>VLOOKUP(E75,nc,5,TRUE)</f>
        <v>13</v>
      </c>
      <c r="K75">
        <f t="shared" si="63"/>
        <v>50</v>
      </c>
      <c r="L75">
        <f>VLOOKUP(K75,nc,2,FALSE)</f>
        <v>619</v>
      </c>
      <c r="M75">
        <f t="shared" si="64"/>
        <v>23</v>
      </c>
      <c r="N75">
        <f>VLOOKUP(M75,nc,2,FALSE)</f>
        <v>230</v>
      </c>
      <c r="O75">
        <f t="shared" si="65"/>
        <v>991</v>
      </c>
      <c r="Q75">
        <f t="shared" si="66"/>
        <v>51</v>
      </c>
      <c r="R75">
        <f>VLOOKUP(Q75,nc,2,FALSE)</f>
        <v>635</v>
      </c>
      <c r="S75">
        <f t="shared" si="67"/>
        <v>22</v>
      </c>
      <c r="T75">
        <f>VLOOKUP(S75,nc,2,FALSE)</f>
        <v>217</v>
      </c>
      <c r="U75">
        <f t="shared" si="68"/>
        <v>991</v>
      </c>
      <c r="W75">
        <f t="shared" si="69"/>
        <v>13</v>
      </c>
      <c r="X75">
        <f t="shared" si="70"/>
        <v>13</v>
      </c>
      <c r="AE75" s="1">
        <f>AM74</f>
        <v>13202</v>
      </c>
      <c r="AF75" t="s">
        <v>3</v>
      </c>
      <c r="AG75">
        <f>AG74+1</f>
        <v>8658</v>
      </c>
      <c r="AH75">
        <f>AE75-AG75</f>
        <v>4544</v>
      </c>
      <c r="AO75">
        <f>INDEX($AU$22:$AU74,MATCH(AH75+1,$AT$22:$AT74,1))</f>
        <v>30</v>
      </c>
      <c r="AP75">
        <f t="shared" si="16"/>
        <v>33</v>
      </c>
      <c r="AQ75">
        <f>INDEX($AT$22:$AT74,MATCH(AP75,$AU$22:$AU74,1))</f>
        <v>11950</v>
      </c>
      <c r="AR75">
        <f t="shared" ref="AR75" si="76">AQ75+AH75</f>
        <v>16494</v>
      </c>
      <c r="AT75">
        <f>AT74</f>
        <v>11950</v>
      </c>
      <c r="AU75">
        <f>AU74</f>
        <v>33</v>
      </c>
      <c r="AV75" s="1">
        <f>(AE75-AE74-1)*AU74+AU75+AV74</f>
        <v>392295</v>
      </c>
    </row>
    <row r="76" spans="2:48" x14ac:dyDescent="0.25">
      <c r="B76">
        <f t="shared" si="56"/>
        <v>74</v>
      </c>
      <c r="C76">
        <f t="shared" si="61"/>
        <v>1008</v>
      </c>
      <c r="D76" s="6">
        <f t="shared" si="62"/>
        <v>50</v>
      </c>
      <c r="E76">
        <f t="shared" si="58"/>
        <v>24</v>
      </c>
      <c r="F76">
        <f t="shared" si="59"/>
        <v>17</v>
      </c>
      <c r="H76">
        <f>VLOOKUP(D76+1,nc,5,TRUE)</f>
        <v>16</v>
      </c>
      <c r="I76">
        <f>VLOOKUP(E76,nc,5,TRUE)</f>
        <v>13</v>
      </c>
      <c r="K76">
        <f t="shared" si="63"/>
        <v>50</v>
      </c>
      <c r="L76">
        <f>VLOOKUP(K76,nc,2,FALSE)</f>
        <v>619</v>
      </c>
      <c r="M76">
        <f t="shared" si="64"/>
        <v>24</v>
      </c>
      <c r="N76">
        <f>VLOOKUP(M76,nc,2,FALSE)</f>
        <v>243</v>
      </c>
      <c r="O76">
        <f t="shared" si="65"/>
        <v>1008</v>
      </c>
      <c r="Q76">
        <f t="shared" si="66"/>
        <v>51</v>
      </c>
      <c r="R76">
        <f>VLOOKUP(Q76,nc,2,FALSE)</f>
        <v>635</v>
      </c>
      <c r="S76">
        <f t="shared" si="67"/>
        <v>23</v>
      </c>
      <c r="T76">
        <f>VLOOKUP(S76,nc,2,FALSE)</f>
        <v>230</v>
      </c>
      <c r="U76">
        <f t="shared" si="68"/>
        <v>1008</v>
      </c>
      <c r="W76">
        <f t="shared" si="69"/>
        <v>13</v>
      </c>
      <c r="X76">
        <f t="shared" si="70"/>
        <v>13</v>
      </c>
      <c r="AE76" s="1">
        <f>AR75</f>
        <v>16494</v>
      </c>
      <c r="AF76" t="s">
        <v>2</v>
      </c>
      <c r="AG76">
        <f>AE76-AH76</f>
        <v>11949</v>
      </c>
      <c r="AH76">
        <f>AH75+1</f>
        <v>4545</v>
      </c>
      <c r="AJ76">
        <f>INDEX($AU$22:$AU75,MATCH(AG76+1,$AT$22:$AT75,1))</f>
        <v>33</v>
      </c>
      <c r="AK76">
        <f t="shared" si="14"/>
        <v>31</v>
      </c>
      <c r="AL76">
        <f>INDEX($AT$22:$AT75,MATCH(AK76,$AU$22:$AU75,1))</f>
        <v>6273</v>
      </c>
      <c r="AM76">
        <f t="shared" ref="AM76" si="77">AG76+AL76</f>
        <v>18222</v>
      </c>
      <c r="AT76">
        <f>AE76</f>
        <v>16494</v>
      </c>
      <c r="AU76">
        <f>AU75+1</f>
        <v>34</v>
      </c>
      <c r="AV76" s="1">
        <f>(AE76-AE75-1)*AU75+AU76+AV75</f>
        <v>500932</v>
      </c>
    </row>
    <row r="77" spans="2:48" x14ac:dyDescent="0.25">
      <c r="B77">
        <f t="shared" si="56"/>
        <v>75</v>
      </c>
      <c r="C77">
        <f t="shared" si="61"/>
        <v>1025</v>
      </c>
      <c r="D77" s="6">
        <f t="shared" si="62"/>
        <v>50</v>
      </c>
      <c r="E77">
        <f t="shared" si="58"/>
        <v>25</v>
      </c>
      <c r="F77">
        <f t="shared" si="59"/>
        <v>17</v>
      </c>
      <c r="H77">
        <f>VLOOKUP(D77+1,nc,5,TRUE)</f>
        <v>16</v>
      </c>
      <c r="I77">
        <f>VLOOKUP(E77,nc,5,TRUE)</f>
        <v>13</v>
      </c>
      <c r="K77">
        <f t="shared" si="63"/>
        <v>50</v>
      </c>
      <c r="L77">
        <f>VLOOKUP(K77,nc,2,FALSE)</f>
        <v>619</v>
      </c>
      <c r="M77">
        <f t="shared" si="64"/>
        <v>25</v>
      </c>
      <c r="N77">
        <f>VLOOKUP(M77,nc,2,FALSE)</f>
        <v>256</v>
      </c>
      <c r="O77">
        <f t="shared" si="65"/>
        <v>1025</v>
      </c>
      <c r="Q77">
        <f t="shared" si="66"/>
        <v>51</v>
      </c>
      <c r="R77">
        <f>VLOOKUP(Q77,nc,2,FALSE)</f>
        <v>635</v>
      </c>
      <c r="S77">
        <f t="shared" si="67"/>
        <v>24</v>
      </c>
      <c r="T77">
        <f>VLOOKUP(S77,nc,2,FALSE)</f>
        <v>243</v>
      </c>
      <c r="U77">
        <f t="shared" si="68"/>
        <v>1025</v>
      </c>
      <c r="W77">
        <f t="shared" si="69"/>
        <v>13</v>
      </c>
      <c r="X77">
        <f t="shared" si="70"/>
        <v>13</v>
      </c>
      <c r="AE77" s="1">
        <f>AM76</f>
        <v>18222</v>
      </c>
      <c r="AF77" t="s">
        <v>3</v>
      </c>
      <c r="AG77">
        <f>AG76+1</f>
        <v>11950</v>
      </c>
      <c r="AH77">
        <f>AE77-AG77</f>
        <v>6272</v>
      </c>
      <c r="AO77">
        <f>INDEX($AU$22:$AU76,MATCH(AH77+1,$AT$22:$AT76,1))</f>
        <v>31</v>
      </c>
      <c r="AP77">
        <f t="shared" si="16"/>
        <v>34</v>
      </c>
      <c r="AQ77">
        <f>INDEX($AT$22:$AT76,MATCH(AP77,$AU$22:$AU76,1))</f>
        <v>16494</v>
      </c>
      <c r="AR77">
        <f t="shared" ref="AR77" si="78">AQ77+AH77</f>
        <v>22766</v>
      </c>
      <c r="AT77">
        <f>AT76</f>
        <v>16494</v>
      </c>
      <c r="AU77">
        <f>AU76</f>
        <v>34</v>
      </c>
      <c r="AV77" s="1">
        <f>(AE77-AE76-1)*AU76+AU77+AV76</f>
        <v>559684</v>
      </c>
    </row>
    <row r="78" spans="2:48" x14ac:dyDescent="0.25">
      <c r="B78">
        <f t="shared" si="56"/>
        <v>76</v>
      </c>
      <c r="C78">
        <f t="shared" si="61"/>
        <v>1042</v>
      </c>
      <c r="D78" s="6">
        <f t="shared" si="62"/>
        <v>50</v>
      </c>
      <c r="E78">
        <f t="shared" si="58"/>
        <v>26</v>
      </c>
      <c r="F78">
        <f t="shared" si="59"/>
        <v>17</v>
      </c>
      <c r="H78">
        <f>VLOOKUP(D78+1,nc,5,TRUE)</f>
        <v>16</v>
      </c>
      <c r="I78">
        <f>VLOOKUP(E78,nc,5,TRUE)</f>
        <v>13</v>
      </c>
      <c r="K78">
        <f t="shared" si="63"/>
        <v>50</v>
      </c>
      <c r="L78">
        <f>VLOOKUP(K78,nc,2,FALSE)</f>
        <v>619</v>
      </c>
      <c r="M78">
        <f t="shared" si="64"/>
        <v>26</v>
      </c>
      <c r="N78">
        <f>VLOOKUP(M78,nc,2,FALSE)</f>
        <v>269</v>
      </c>
      <c r="O78">
        <f t="shared" si="65"/>
        <v>1042</v>
      </c>
      <c r="Q78">
        <f t="shared" si="66"/>
        <v>51</v>
      </c>
      <c r="R78">
        <f>VLOOKUP(Q78,nc,2,FALSE)</f>
        <v>635</v>
      </c>
      <c r="S78">
        <f t="shared" si="67"/>
        <v>25</v>
      </c>
      <c r="T78">
        <f>VLOOKUP(S78,nc,2,FALSE)</f>
        <v>256</v>
      </c>
      <c r="U78">
        <f t="shared" si="68"/>
        <v>1042</v>
      </c>
      <c r="W78">
        <f t="shared" si="69"/>
        <v>13</v>
      </c>
      <c r="X78">
        <f t="shared" si="70"/>
        <v>13</v>
      </c>
      <c r="AE78" s="1">
        <f>AR77</f>
        <v>22766</v>
      </c>
      <c r="AF78" t="s">
        <v>2</v>
      </c>
      <c r="AG78">
        <f>AE78-AH78</f>
        <v>16493</v>
      </c>
      <c r="AH78">
        <f>AH77+1</f>
        <v>6273</v>
      </c>
      <c r="AJ78">
        <f>INDEX($AU$22:$AU77,MATCH(AG78+1,$AT$22:$AT77,1))</f>
        <v>34</v>
      </c>
      <c r="AK78">
        <f t="shared" si="14"/>
        <v>32</v>
      </c>
      <c r="AL78">
        <f>INDEX($AT$22:$AT77,MATCH(AK78,$AU$22:$AU77,1))</f>
        <v>8658</v>
      </c>
      <c r="AM78">
        <f t="shared" ref="AM78" si="79">AG78+AL78</f>
        <v>25151</v>
      </c>
      <c r="AT78">
        <f>AE78</f>
        <v>22766</v>
      </c>
      <c r="AU78">
        <f>AU77+1</f>
        <v>35</v>
      </c>
      <c r="AV78" s="1">
        <f>(AE78-AE77-1)*AU77+AU78+AV77</f>
        <v>714181</v>
      </c>
    </row>
    <row r="79" spans="2:48" x14ac:dyDescent="0.25">
      <c r="B79" s="6">
        <f t="shared" si="56"/>
        <v>77</v>
      </c>
      <c r="C79" s="6">
        <f t="shared" si="61"/>
        <v>1059</v>
      </c>
      <c r="D79" s="6">
        <f t="shared" si="62"/>
        <v>51</v>
      </c>
      <c r="E79" s="6">
        <f t="shared" si="58"/>
        <v>26</v>
      </c>
      <c r="F79" s="6">
        <f t="shared" si="59"/>
        <v>17</v>
      </c>
      <c r="G79" s="6"/>
      <c r="H79" s="6">
        <f>VLOOKUP(D79+1,nc,5,TRUE)</f>
        <v>16</v>
      </c>
      <c r="I79" s="6">
        <f>VLOOKUP(E79,nc,5,TRUE)</f>
        <v>13</v>
      </c>
      <c r="J79" s="6"/>
      <c r="K79" s="6">
        <f t="shared" si="63"/>
        <v>50</v>
      </c>
      <c r="L79" s="6">
        <f>VLOOKUP(K79,nc,2,FALSE)</f>
        <v>619</v>
      </c>
      <c r="M79" s="6">
        <f t="shared" si="64"/>
        <v>27</v>
      </c>
      <c r="N79" s="6">
        <f>VLOOKUP(M79,nc,2,FALSE)</f>
        <v>283</v>
      </c>
      <c r="O79" s="6">
        <f t="shared" si="65"/>
        <v>1060</v>
      </c>
      <c r="P79" s="6"/>
      <c r="Q79" s="6">
        <f t="shared" si="66"/>
        <v>51</v>
      </c>
      <c r="R79" s="6">
        <f>VLOOKUP(Q79,nc,2,FALSE)</f>
        <v>635</v>
      </c>
      <c r="S79" s="6">
        <f t="shared" si="67"/>
        <v>26</v>
      </c>
      <c r="T79" s="6">
        <f>VLOOKUP(S79,nc,2,FALSE)</f>
        <v>269</v>
      </c>
      <c r="U79" s="6">
        <f t="shared" si="68"/>
        <v>1059</v>
      </c>
      <c r="V79" s="6"/>
      <c r="W79" s="6">
        <f t="shared" si="69"/>
        <v>14</v>
      </c>
      <c r="X79" s="6">
        <f t="shared" si="70"/>
        <v>13</v>
      </c>
      <c r="AE79" s="1">
        <f>AM78</f>
        <v>25151</v>
      </c>
      <c r="AF79" t="s">
        <v>3</v>
      </c>
      <c r="AG79">
        <f>AG78+1</f>
        <v>16494</v>
      </c>
      <c r="AH79">
        <f>AE79-AG79</f>
        <v>8657</v>
      </c>
      <c r="AO79">
        <f>INDEX($AU$22:$AU78,MATCH(AH79+1,$AT$22:$AT78,1))</f>
        <v>32</v>
      </c>
      <c r="AP79">
        <f t="shared" si="16"/>
        <v>35</v>
      </c>
      <c r="AQ79">
        <f>INDEX($AT$22:$AT78,MATCH(AP79,$AU$22:$AU78,1))</f>
        <v>22766</v>
      </c>
      <c r="AR79">
        <f t="shared" ref="AR79" si="80">AQ79+AH79</f>
        <v>31423</v>
      </c>
      <c r="AT79">
        <f>AT78</f>
        <v>22766</v>
      </c>
      <c r="AU79">
        <f>AU78</f>
        <v>35</v>
      </c>
      <c r="AV79" s="1">
        <f>(AE79-AE78-1)*AU78+AU79+AV78</f>
        <v>797656</v>
      </c>
    </row>
    <row r="80" spans="2:48" x14ac:dyDescent="0.25">
      <c r="B80">
        <f t="shared" si="56"/>
        <v>78</v>
      </c>
      <c r="C80">
        <f t="shared" si="61"/>
        <v>1076</v>
      </c>
      <c r="D80">
        <f t="shared" si="62"/>
        <v>52</v>
      </c>
      <c r="E80" s="6">
        <f t="shared" si="58"/>
        <v>26</v>
      </c>
      <c r="F80">
        <f t="shared" si="59"/>
        <v>17</v>
      </c>
      <c r="H80">
        <f>VLOOKUP(D80+1,nc,5,TRUE)</f>
        <v>16</v>
      </c>
      <c r="I80">
        <f>VLOOKUP(E80,nc,5,TRUE)</f>
        <v>13</v>
      </c>
      <c r="K80">
        <f t="shared" si="63"/>
        <v>51</v>
      </c>
      <c r="L80">
        <f>VLOOKUP(K80,nc,2,FALSE)</f>
        <v>635</v>
      </c>
      <c r="M80">
        <f t="shared" si="64"/>
        <v>27</v>
      </c>
      <c r="N80">
        <f>VLOOKUP(M80,nc,2,FALSE)</f>
        <v>283</v>
      </c>
      <c r="O80">
        <f t="shared" si="65"/>
        <v>1077</v>
      </c>
      <c r="Q80">
        <f t="shared" si="66"/>
        <v>52</v>
      </c>
      <c r="R80">
        <f>VLOOKUP(Q80,nc,2,FALSE)</f>
        <v>651</v>
      </c>
      <c r="S80">
        <f t="shared" si="67"/>
        <v>26</v>
      </c>
      <c r="T80">
        <f>VLOOKUP(S80,nc,2,FALSE)</f>
        <v>269</v>
      </c>
      <c r="U80">
        <f t="shared" si="68"/>
        <v>1076</v>
      </c>
      <c r="W80">
        <f t="shared" si="69"/>
        <v>14</v>
      </c>
      <c r="X80">
        <f t="shared" si="70"/>
        <v>13</v>
      </c>
      <c r="AE80" s="1">
        <f>AR79</f>
        <v>31423</v>
      </c>
      <c r="AF80" t="s">
        <v>2</v>
      </c>
      <c r="AG80">
        <f>AE80-AH80</f>
        <v>22765</v>
      </c>
      <c r="AH80">
        <f>AH79+1</f>
        <v>8658</v>
      </c>
      <c r="AJ80">
        <f>INDEX($AU$22:$AU79,MATCH(AG80+1,$AT$22:$AT79,1))</f>
        <v>35</v>
      </c>
      <c r="AK80">
        <f t="shared" si="14"/>
        <v>33</v>
      </c>
      <c r="AL80">
        <f>INDEX($AT$22:$AT79,MATCH(AK80,$AU$22:$AU79,1))</f>
        <v>11950</v>
      </c>
      <c r="AM80">
        <f t="shared" ref="AM80" si="81">AG80+AL80</f>
        <v>34715</v>
      </c>
      <c r="AT80">
        <f>AE80</f>
        <v>31423</v>
      </c>
      <c r="AU80">
        <f>AU79+1</f>
        <v>36</v>
      </c>
      <c r="AV80" s="1">
        <f>(AE80-AE79-1)*AU79+AU80+AV79</f>
        <v>1017177</v>
      </c>
    </row>
    <row r="81" spans="2:48" x14ac:dyDescent="0.25">
      <c r="B81">
        <f t="shared" si="56"/>
        <v>79</v>
      </c>
      <c r="C81">
        <f t="shared" si="61"/>
        <v>1093</v>
      </c>
      <c r="D81">
        <f t="shared" si="62"/>
        <v>53</v>
      </c>
      <c r="E81" s="6">
        <f t="shared" si="58"/>
        <v>26</v>
      </c>
      <c r="F81">
        <f t="shared" si="59"/>
        <v>17</v>
      </c>
      <c r="H81">
        <f>VLOOKUP(D81+1,nc,5,TRUE)</f>
        <v>16</v>
      </c>
      <c r="I81">
        <f>VLOOKUP(E81,nc,5,TRUE)</f>
        <v>13</v>
      </c>
      <c r="K81">
        <f t="shared" si="63"/>
        <v>52</v>
      </c>
      <c r="L81">
        <f>VLOOKUP(K81,nc,2,FALSE)</f>
        <v>651</v>
      </c>
      <c r="M81">
        <f t="shared" si="64"/>
        <v>27</v>
      </c>
      <c r="N81">
        <f>VLOOKUP(M81,nc,2,FALSE)</f>
        <v>283</v>
      </c>
      <c r="O81">
        <f t="shared" si="65"/>
        <v>1094</v>
      </c>
      <c r="Q81">
        <f t="shared" si="66"/>
        <v>53</v>
      </c>
      <c r="R81">
        <f>VLOOKUP(Q81,nc,2,FALSE)</f>
        <v>667</v>
      </c>
      <c r="S81">
        <f t="shared" si="67"/>
        <v>26</v>
      </c>
      <c r="T81">
        <f>VLOOKUP(S81,nc,2,FALSE)</f>
        <v>269</v>
      </c>
      <c r="U81">
        <f t="shared" si="68"/>
        <v>1093</v>
      </c>
      <c r="W81">
        <f t="shared" si="69"/>
        <v>14</v>
      </c>
      <c r="X81">
        <f t="shared" si="70"/>
        <v>13</v>
      </c>
      <c r="AE81" s="1">
        <f>AM80</f>
        <v>34715</v>
      </c>
      <c r="AF81" t="s">
        <v>3</v>
      </c>
      <c r="AG81">
        <f>AG80+1</f>
        <v>22766</v>
      </c>
      <c r="AH81">
        <f>AE81-AG81</f>
        <v>11949</v>
      </c>
      <c r="AO81">
        <f>INDEX($AU$22:$AU80,MATCH(AH81+1,$AT$22:$AT80,1))</f>
        <v>33</v>
      </c>
      <c r="AP81">
        <f t="shared" si="16"/>
        <v>36</v>
      </c>
      <c r="AQ81">
        <f>INDEX($AT$22:$AT80,MATCH(AP81,$AU$22:$AU80,1))</f>
        <v>31423</v>
      </c>
      <c r="AR81">
        <f t="shared" ref="AR81" si="82">AQ81+AH81</f>
        <v>43372</v>
      </c>
      <c r="AT81">
        <f>AT80</f>
        <v>31423</v>
      </c>
      <c r="AU81">
        <f>AU80</f>
        <v>36</v>
      </c>
      <c r="AV81" s="1">
        <f>(AE81-AE80-1)*AU80+AU81+AV80</f>
        <v>1135689</v>
      </c>
    </row>
    <row r="82" spans="2:48" x14ac:dyDescent="0.25">
      <c r="B82">
        <f t="shared" si="56"/>
        <v>80</v>
      </c>
      <c r="C82">
        <f t="shared" si="61"/>
        <v>1110</v>
      </c>
      <c r="D82">
        <f t="shared" si="62"/>
        <v>54</v>
      </c>
      <c r="E82" s="6">
        <f t="shared" si="58"/>
        <v>26</v>
      </c>
      <c r="F82">
        <f t="shared" si="59"/>
        <v>17</v>
      </c>
      <c r="H82">
        <f>VLOOKUP(D82+1,nc,5,TRUE)</f>
        <v>16</v>
      </c>
      <c r="I82">
        <f>VLOOKUP(E82,nc,5,TRUE)</f>
        <v>13</v>
      </c>
      <c r="K82">
        <f t="shared" si="63"/>
        <v>53</v>
      </c>
      <c r="L82">
        <f>VLOOKUP(K82,nc,2,FALSE)</f>
        <v>667</v>
      </c>
      <c r="M82">
        <f t="shared" si="64"/>
        <v>27</v>
      </c>
      <c r="N82">
        <f>VLOOKUP(M82,nc,2,FALSE)</f>
        <v>283</v>
      </c>
      <c r="O82">
        <f t="shared" si="65"/>
        <v>1111</v>
      </c>
      <c r="Q82">
        <f t="shared" si="66"/>
        <v>54</v>
      </c>
      <c r="R82">
        <f>VLOOKUP(Q82,nc,2,FALSE)</f>
        <v>683</v>
      </c>
      <c r="S82">
        <f t="shared" si="67"/>
        <v>26</v>
      </c>
      <c r="T82">
        <f>VLOOKUP(S82,nc,2,FALSE)</f>
        <v>269</v>
      </c>
      <c r="U82">
        <f t="shared" si="68"/>
        <v>1110</v>
      </c>
      <c r="W82">
        <f t="shared" si="69"/>
        <v>14</v>
      </c>
      <c r="X82">
        <f t="shared" si="70"/>
        <v>13</v>
      </c>
      <c r="AE82" s="1">
        <f>AR81</f>
        <v>43372</v>
      </c>
      <c r="AF82" t="s">
        <v>2</v>
      </c>
      <c r="AG82">
        <f>AE82-AH82</f>
        <v>31422</v>
      </c>
      <c r="AH82">
        <f>AH81+1</f>
        <v>11950</v>
      </c>
      <c r="AJ82">
        <f>INDEX($AU$22:$AU81,MATCH(AG82+1,$AT$22:$AT81,1))</f>
        <v>36</v>
      </c>
      <c r="AK82">
        <f t="shared" si="14"/>
        <v>34</v>
      </c>
      <c r="AL82">
        <f>INDEX($AT$22:$AT81,MATCH(AK82,$AU$22:$AU81,1))</f>
        <v>16494</v>
      </c>
      <c r="AM82">
        <f t="shared" ref="AM82" si="83">AG82+AL82</f>
        <v>47916</v>
      </c>
      <c r="AT82">
        <f>AE82</f>
        <v>43372</v>
      </c>
      <c r="AU82">
        <f>AU81+1</f>
        <v>37</v>
      </c>
      <c r="AV82" s="1">
        <f>(AE82-AE81-1)*AU81+AU82+AV81</f>
        <v>1447342</v>
      </c>
    </row>
    <row r="83" spans="2:48" x14ac:dyDescent="0.25">
      <c r="B83">
        <f t="shared" si="56"/>
        <v>81</v>
      </c>
      <c r="C83">
        <f t="shared" si="61"/>
        <v>1127</v>
      </c>
      <c r="D83">
        <f t="shared" si="62"/>
        <v>55</v>
      </c>
      <c r="E83" s="6">
        <f t="shared" si="58"/>
        <v>26</v>
      </c>
      <c r="F83">
        <f t="shared" si="59"/>
        <v>17</v>
      </c>
      <c r="H83">
        <f>VLOOKUP(D83+1,nc,5,TRUE)</f>
        <v>16</v>
      </c>
      <c r="I83">
        <f>VLOOKUP(E83,nc,5,TRUE)</f>
        <v>13</v>
      </c>
      <c r="K83">
        <f t="shared" si="63"/>
        <v>54</v>
      </c>
      <c r="L83">
        <f>VLOOKUP(K83,nc,2,FALSE)</f>
        <v>683</v>
      </c>
      <c r="M83">
        <f t="shared" si="64"/>
        <v>27</v>
      </c>
      <c r="N83">
        <f>VLOOKUP(M83,nc,2,FALSE)</f>
        <v>283</v>
      </c>
      <c r="O83">
        <f t="shared" si="65"/>
        <v>1128</v>
      </c>
      <c r="Q83">
        <f t="shared" si="66"/>
        <v>55</v>
      </c>
      <c r="R83">
        <f>VLOOKUP(Q83,nc,2,FALSE)</f>
        <v>699</v>
      </c>
      <c r="S83">
        <f t="shared" si="67"/>
        <v>26</v>
      </c>
      <c r="T83">
        <f>VLOOKUP(S83,nc,2,FALSE)</f>
        <v>269</v>
      </c>
      <c r="U83">
        <f t="shared" si="68"/>
        <v>1127</v>
      </c>
      <c r="W83">
        <f t="shared" si="69"/>
        <v>14</v>
      </c>
      <c r="X83">
        <f t="shared" si="70"/>
        <v>13</v>
      </c>
      <c r="AE83" s="1">
        <f>AM82</f>
        <v>47916</v>
      </c>
      <c r="AF83" t="s">
        <v>3</v>
      </c>
      <c r="AG83">
        <f>AG82+1</f>
        <v>31423</v>
      </c>
      <c r="AH83">
        <f>AE83-AG83</f>
        <v>16493</v>
      </c>
      <c r="AO83">
        <f>INDEX($AU$22:$AU82,MATCH(AH83+1,$AT$22:$AT82,1))</f>
        <v>34</v>
      </c>
      <c r="AP83">
        <f t="shared" si="16"/>
        <v>37</v>
      </c>
      <c r="AQ83">
        <f>INDEX($AT$22:$AT82,MATCH(AP83,$AU$22:$AU82,1))</f>
        <v>43372</v>
      </c>
      <c r="AR83">
        <f t="shared" ref="AR83" si="84">AQ83+AH83</f>
        <v>59865</v>
      </c>
      <c r="AT83">
        <f>AT82</f>
        <v>43372</v>
      </c>
      <c r="AU83">
        <f>AU82</f>
        <v>37</v>
      </c>
      <c r="AV83" s="1">
        <f>(AE83-AE82-1)*AU82+AU83+AV82</f>
        <v>1615470</v>
      </c>
    </row>
    <row r="84" spans="2:48" x14ac:dyDescent="0.25">
      <c r="B84">
        <f t="shared" si="56"/>
        <v>82</v>
      </c>
      <c r="C84">
        <f t="shared" si="61"/>
        <v>1144</v>
      </c>
      <c r="D84">
        <f t="shared" si="62"/>
        <v>56</v>
      </c>
      <c r="E84" s="6">
        <f t="shared" si="58"/>
        <v>26</v>
      </c>
      <c r="F84">
        <f t="shared" si="59"/>
        <v>17</v>
      </c>
      <c r="H84">
        <f>VLOOKUP(D84+1,nc,5,TRUE)</f>
        <v>16</v>
      </c>
      <c r="I84">
        <f>VLOOKUP(E84,nc,5,TRUE)</f>
        <v>13</v>
      </c>
      <c r="K84">
        <f t="shared" si="63"/>
        <v>55</v>
      </c>
      <c r="L84">
        <f>VLOOKUP(K84,nc,2,FALSE)</f>
        <v>699</v>
      </c>
      <c r="M84">
        <f t="shared" si="64"/>
        <v>27</v>
      </c>
      <c r="N84">
        <f>VLOOKUP(M84,nc,2,FALSE)</f>
        <v>283</v>
      </c>
      <c r="O84">
        <f t="shared" si="65"/>
        <v>1145</v>
      </c>
      <c r="Q84">
        <f t="shared" si="66"/>
        <v>56</v>
      </c>
      <c r="R84">
        <f>VLOOKUP(Q84,nc,2,FALSE)</f>
        <v>715</v>
      </c>
      <c r="S84">
        <f t="shared" si="67"/>
        <v>26</v>
      </c>
      <c r="T84">
        <f>VLOOKUP(S84,nc,2,FALSE)</f>
        <v>269</v>
      </c>
      <c r="U84">
        <f t="shared" si="68"/>
        <v>1144</v>
      </c>
      <c r="W84">
        <f t="shared" si="69"/>
        <v>14</v>
      </c>
      <c r="X84">
        <f t="shared" si="70"/>
        <v>13</v>
      </c>
      <c r="AE84" s="1">
        <f>AR83</f>
        <v>59865</v>
      </c>
      <c r="AF84" t="s">
        <v>2</v>
      </c>
      <c r="AG84">
        <f>AE84-AH84</f>
        <v>43371</v>
      </c>
      <c r="AH84">
        <f>AH83+1</f>
        <v>16494</v>
      </c>
      <c r="AJ84">
        <f>INDEX($AU$22:$AU83,MATCH(AG84+1,$AT$22:$AT83,1))</f>
        <v>37</v>
      </c>
      <c r="AK84">
        <f t="shared" si="14"/>
        <v>35</v>
      </c>
      <c r="AL84">
        <f>INDEX($AT$22:$AT83,MATCH(AK84,$AU$22:$AU83,1))</f>
        <v>22766</v>
      </c>
      <c r="AM84">
        <f t="shared" ref="AM84" si="85">AG84+AL84</f>
        <v>66137</v>
      </c>
      <c r="AT84">
        <f>AE84</f>
        <v>59865</v>
      </c>
      <c r="AU84">
        <f>AU83+1</f>
        <v>38</v>
      </c>
      <c r="AV84" s="1">
        <f>(AE84-AE83-1)*AU83+AU84+AV83</f>
        <v>2057584</v>
      </c>
    </row>
    <row r="85" spans="2:48" x14ac:dyDescent="0.25">
      <c r="B85">
        <f t="shared" si="56"/>
        <v>83</v>
      </c>
      <c r="C85">
        <f t="shared" si="61"/>
        <v>1161</v>
      </c>
      <c r="D85">
        <f t="shared" si="62"/>
        <v>57</v>
      </c>
      <c r="E85" s="6">
        <f t="shared" si="58"/>
        <v>26</v>
      </c>
      <c r="F85">
        <f t="shared" si="59"/>
        <v>17</v>
      </c>
      <c r="H85">
        <f>VLOOKUP(D85+1,nc,5,TRUE)</f>
        <v>16</v>
      </c>
      <c r="I85">
        <f>VLOOKUP(E85,nc,5,TRUE)</f>
        <v>13</v>
      </c>
      <c r="K85">
        <f t="shared" si="63"/>
        <v>56</v>
      </c>
      <c r="L85">
        <f>VLOOKUP(K85,nc,2,FALSE)</f>
        <v>715</v>
      </c>
      <c r="M85">
        <f t="shared" si="64"/>
        <v>27</v>
      </c>
      <c r="N85">
        <f>VLOOKUP(M85,nc,2,FALSE)</f>
        <v>283</v>
      </c>
      <c r="O85">
        <f t="shared" si="65"/>
        <v>1162</v>
      </c>
      <c r="Q85">
        <f t="shared" si="66"/>
        <v>57</v>
      </c>
      <c r="R85">
        <f>VLOOKUP(Q85,nc,2,FALSE)</f>
        <v>731</v>
      </c>
      <c r="S85">
        <f t="shared" si="67"/>
        <v>26</v>
      </c>
      <c r="T85">
        <f>VLOOKUP(S85,nc,2,FALSE)</f>
        <v>269</v>
      </c>
      <c r="U85">
        <f t="shared" si="68"/>
        <v>1161</v>
      </c>
      <c r="W85">
        <f t="shared" si="69"/>
        <v>14</v>
      </c>
      <c r="X85">
        <f t="shared" si="70"/>
        <v>13</v>
      </c>
      <c r="AE85" s="1">
        <f>AM84</f>
        <v>66137</v>
      </c>
      <c r="AF85" t="s">
        <v>3</v>
      </c>
      <c r="AG85">
        <f>AG84+1</f>
        <v>43372</v>
      </c>
      <c r="AH85">
        <f>AE85-AG85</f>
        <v>22765</v>
      </c>
      <c r="AO85">
        <f>INDEX($AU$22:$AU84,MATCH(AH85+1,$AT$22:$AT84,1))</f>
        <v>35</v>
      </c>
      <c r="AP85">
        <f t="shared" si="16"/>
        <v>38</v>
      </c>
      <c r="AQ85">
        <f>INDEX($AT$22:$AT84,MATCH(AP85,$AU$22:$AU84,1))</f>
        <v>59865</v>
      </c>
      <c r="AR85">
        <f t="shared" ref="AR85" si="86">AQ85+AH85</f>
        <v>82630</v>
      </c>
      <c r="AT85">
        <f>AT84</f>
        <v>59865</v>
      </c>
      <c r="AU85">
        <f>AU84</f>
        <v>38</v>
      </c>
      <c r="AV85" s="1">
        <f>(AE85-AE84-1)*AU84+AU85+AV84</f>
        <v>2295920</v>
      </c>
    </row>
    <row r="86" spans="2:48" x14ac:dyDescent="0.25">
      <c r="B86">
        <f t="shared" si="56"/>
        <v>84</v>
      </c>
      <c r="C86">
        <f t="shared" si="61"/>
        <v>1178</v>
      </c>
      <c r="D86">
        <f t="shared" si="62"/>
        <v>58</v>
      </c>
      <c r="E86" s="6">
        <f t="shared" si="58"/>
        <v>26</v>
      </c>
      <c r="F86">
        <f t="shared" si="59"/>
        <v>17</v>
      </c>
      <c r="H86">
        <f>VLOOKUP(D86+1,nc,5,TRUE)</f>
        <v>16</v>
      </c>
      <c r="I86">
        <f>VLOOKUP(E86,nc,5,TRUE)</f>
        <v>13</v>
      </c>
      <c r="K86">
        <f t="shared" si="63"/>
        <v>57</v>
      </c>
      <c r="L86">
        <f>VLOOKUP(K86,nc,2,FALSE)</f>
        <v>731</v>
      </c>
      <c r="M86">
        <f t="shared" si="64"/>
        <v>27</v>
      </c>
      <c r="N86">
        <f>VLOOKUP(M86,nc,2,FALSE)</f>
        <v>283</v>
      </c>
      <c r="O86">
        <f t="shared" si="65"/>
        <v>1179</v>
      </c>
      <c r="Q86">
        <f t="shared" si="66"/>
        <v>58</v>
      </c>
      <c r="R86">
        <f>VLOOKUP(Q86,nc,2,FALSE)</f>
        <v>747</v>
      </c>
      <c r="S86">
        <f t="shared" si="67"/>
        <v>26</v>
      </c>
      <c r="T86">
        <f>VLOOKUP(S86,nc,2,FALSE)</f>
        <v>269</v>
      </c>
      <c r="U86">
        <f t="shared" si="68"/>
        <v>1178</v>
      </c>
      <c r="W86">
        <f t="shared" si="69"/>
        <v>14</v>
      </c>
      <c r="X86">
        <f t="shared" si="70"/>
        <v>13</v>
      </c>
      <c r="AE86" s="1">
        <f>AR85</f>
        <v>82630</v>
      </c>
      <c r="AF86" t="s">
        <v>2</v>
      </c>
      <c r="AG86">
        <f>AE86-AH86</f>
        <v>59864</v>
      </c>
      <c r="AH86">
        <f>AH85+1</f>
        <v>22766</v>
      </c>
      <c r="AJ86">
        <f>INDEX($AU$22:$AU85,MATCH(AG86+1,$AT$22:$AT85,1))</f>
        <v>38</v>
      </c>
      <c r="AK86">
        <f t="shared" si="14"/>
        <v>36</v>
      </c>
      <c r="AL86">
        <f>INDEX($AT$22:$AT85,MATCH(AK86,$AU$22:$AU85,1))</f>
        <v>31423</v>
      </c>
      <c r="AM86">
        <f t="shared" ref="AM86" si="87">AG86+AL86</f>
        <v>91287</v>
      </c>
      <c r="AT86">
        <f>AE86</f>
        <v>82630</v>
      </c>
      <c r="AU86">
        <f>AU85+1</f>
        <v>39</v>
      </c>
      <c r="AV86" s="1">
        <f>(AE86-AE85-1)*AU85+AU86+AV85</f>
        <v>2922655</v>
      </c>
    </row>
    <row r="87" spans="2:48" x14ac:dyDescent="0.25">
      <c r="B87">
        <f t="shared" si="56"/>
        <v>85</v>
      </c>
      <c r="C87">
        <f t="shared" si="61"/>
        <v>1195</v>
      </c>
      <c r="D87">
        <f t="shared" si="62"/>
        <v>59</v>
      </c>
      <c r="E87" s="6">
        <f t="shared" si="58"/>
        <v>26</v>
      </c>
      <c r="F87">
        <f t="shared" si="59"/>
        <v>17</v>
      </c>
      <c r="H87">
        <f>VLOOKUP(D87+1,nc,5,TRUE)</f>
        <v>16</v>
      </c>
      <c r="I87">
        <f>VLOOKUP(E87,nc,5,TRUE)</f>
        <v>13</v>
      </c>
      <c r="K87">
        <f t="shared" si="63"/>
        <v>58</v>
      </c>
      <c r="L87">
        <f>VLOOKUP(K87,nc,2,FALSE)</f>
        <v>747</v>
      </c>
      <c r="M87">
        <f t="shared" si="64"/>
        <v>27</v>
      </c>
      <c r="N87">
        <f>VLOOKUP(M87,nc,2,FALSE)</f>
        <v>283</v>
      </c>
      <c r="O87">
        <f t="shared" si="65"/>
        <v>1196</v>
      </c>
      <c r="Q87">
        <f t="shared" si="66"/>
        <v>59</v>
      </c>
      <c r="R87">
        <f>VLOOKUP(Q87,nc,2,FALSE)</f>
        <v>763</v>
      </c>
      <c r="S87">
        <f t="shared" si="67"/>
        <v>26</v>
      </c>
      <c r="T87">
        <f>VLOOKUP(S87,nc,2,FALSE)</f>
        <v>269</v>
      </c>
      <c r="U87">
        <f t="shared" si="68"/>
        <v>1195</v>
      </c>
      <c r="W87">
        <f t="shared" si="69"/>
        <v>14</v>
      </c>
      <c r="X87">
        <f t="shared" si="70"/>
        <v>13</v>
      </c>
      <c r="AE87" s="1">
        <f>AM86</f>
        <v>91287</v>
      </c>
      <c r="AF87" t="s">
        <v>3</v>
      </c>
      <c r="AG87">
        <f>AG86+1</f>
        <v>59865</v>
      </c>
      <c r="AH87">
        <f>AE87-AG87</f>
        <v>31422</v>
      </c>
      <c r="AO87">
        <f>INDEX($AU$22:$AU86,MATCH(AH87+1,$AT$22:$AT86,1))</f>
        <v>36</v>
      </c>
      <c r="AP87">
        <f t="shared" si="16"/>
        <v>39</v>
      </c>
      <c r="AQ87">
        <f>INDEX($AT$22:$AT86,MATCH(AP87,$AU$22:$AU86,1))</f>
        <v>82630</v>
      </c>
      <c r="AR87">
        <f t="shared" ref="AR87" si="88">AQ87+AH87</f>
        <v>114052</v>
      </c>
      <c r="AT87">
        <f>AT86</f>
        <v>82630</v>
      </c>
      <c r="AU87">
        <f>AU86</f>
        <v>39</v>
      </c>
      <c r="AV87" s="1">
        <f>(AE87-AE86-1)*AU86+AU87+AV86</f>
        <v>3260278</v>
      </c>
    </row>
    <row r="88" spans="2:48" x14ac:dyDescent="0.25">
      <c r="B88">
        <f t="shared" si="56"/>
        <v>86</v>
      </c>
      <c r="C88">
        <f t="shared" si="61"/>
        <v>1212</v>
      </c>
      <c r="D88">
        <f t="shared" si="62"/>
        <v>60</v>
      </c>
      <c r="E88" s="6">
        <f t="shared" si="58"/>
        <v>26</v>
      </c>
      <c r="F88">
        <f t="shared" si="59"/>
        <v>17</v>
      </c>
      <c r="H88">
        <f>VLOOKUP(D88+1,nc,5,TRUE)</f>
        <v>16</v>
      </c>
      <c r="I88">
        <f>VLOOKUP(E88,nc,5,TRUE)</f>
        <v>13</v>
      </c>
      <c r="K88">
        <f t="shared" si="63"/>
        <v>59</v>
      </c>
      <c r="L88">
        <f>VLOOKUP(K88,nc,2,FALSE)</f>
        <v>763</v>
      </c>
      <c r="M88">
        <f t="shared" si="64"/>
        <v>27</v>
      </c>
      <c r="N88">
        <f>VLOOKUP(M88,nc,2,FALSE)</f>
        <v>283</v>
      </c>
      <c r="O88">
        <f t="shared" si="65"/>
        <v>1213</v>
      </c>
      <c r="Q88">
        <f t="shared" si="66"/>
        <v>60</v>
      </c>
      <c r="R88">
        <f>VLOOKUP(Q88,nc,2,FALSE)</f>
        <v>779</v>
      </c>
      <c r="S88">
        <f t="shared" si="67"/>
        <v>26</v>
      </c>
      <c r="T88">
        <f>VLOOKUP(S88,nc,2,FALSE)</f>
        <v>269</v>
      </c>
      <c r="U88">
        <f t="shared" si="68"/>
        <v>1212</v>
      </c>
      <c r="W88">
        <f t="shared" si="69"/>
        <v>14</v>
      </c>
      <c r="X88">
        <f t="shared" si="70"/>
        <v>13</v>
      </c>
      <c r="AE88" s="1">
        <f>AR87</f>
        <v>114052</v>
      </c>
      <c r="AF88" t="s">
        <v>2</v>
      </c>
      <c r="AG88">
        <f>AE88-AH88</f>
        <v>82629</v>
      </c>
      <c r="AH88">
        <f>AH87+1</f>
        <v>31423</v>
      </c>
      <c r="AJ88">
        <f>INDEX($AU$22:$AU87,MATCH(AG88+1,$AT$22:$AT87,1))</f>
        <v>39</v>
      </c>
      <c r="AK88">
        <f t="shared" si="14"/>
        <v>37</v>
      </c>
      <c r="AL88">
        <f>INDEX($AT$22:$AT87,MATCH(AK88,$AU$22:$AU87,1))</f>
        <v>43372</v>
      </c>
      <c r="AM88">
        <f t="shared" ref="AM88" si="89">AG88+AL88</f>
        <v>126001</v>
      </c>
      <c r="AT88">
        <f>AE88</f>
        <v>114052</v>
      </c>
      <c r="AU88">
        <f>AU87+1</f>
        <v>40</v>
      </c>
      <c r="AV88" s="1">
        <f>(AE88-AE87-1)*AU87+AU88+AV87</f>
        <v>4148114</v>
      </c>
    </row>
    <row r="89" spans="2:48" x14ac:dyDescent="0.25">
      <c r="B89">
        <f t="shared" si="56"/>
        <v>87</v>
      </c>
      <c r="C89">
        <f t="shared" si="61"/>
        <v>1229</v>
      </c>
      <c r="D89">
        <f t="shared" si="62"/>
        <v>61</v>
      </c>
      <c r="E89" s="6">
        <f t="shared" si="58"/>
        <v>26</v>
      </c>
      <c r="F89">
        <f t="shared" si="59"/>
        <v>17</v>
      </c>
      <c r="H89">
        <f>VLOOKUP(D89+1,nc,5,TRUE)</f>
        <v>16</v>
      </c>
      <c r="I89">
        <f>VLOOKUP(E89,nc,5,TRUE)</f>
        <v>13</v>
      </c>
      <c r="K89">
        <f t="shared" si="63"/>
        <v>60</v>
      </c>
      <c r="L89">
        <f>VLOOKUP(K89,nc,2,FALSE)</f>
        <v>779</v>
      </c>
      <c r="M89">
        <f t="shared" si="64"/>
        <v>27</v>
      </c>
      <c r="N89">
        <f>VLOOKUP(M89,nc,2,FALSE)</f>
        <v>283</v>
      </c>
      <c r="O89">
        <f t="shared" si="65"/>
        <v>1230</v>
      </c>
      <c r="Q89">
        <f t="shared" si="66"/>
        <v>61</v>
      </c>
      <c r="R89">
        <f>VLOOKUP(Q89,nc,2,FALSE)</f>
        <v>795</v>
      </c>
      <c r="S89">
        <f t="shared" si="67"/>
        <v>26</v>
      </c>
      <c r="T89">
        <f>VLOOKUP(S89,nc,2,FALSE)</f>
        <v>269</v>
      </c>
      <c r="U89">
        <f t="shared" si="68"/>
        <v>1229</v>
      </c>
      <c r="W89">
        <f t="shared" si="69"/>
        <v>14</v>
      </c>
      <c r="X89">
        <f t="shared" si="70"/>
        <v>13</v>
      </c>
      <c r="AE89" s="1">
        <f>AM88</f>
        <v>126001</v>
      </c>
      <c r="AF89" t="s">
        <v>3</v>
      </c>
      <c r="AG89">
        <f>AG88+1</f>
        <v>82630</v>
      </c>
      <c r="AH89">
        <f>AE89-AG89</f>
        <v>43371</v>
      </c>
      <c r="AO89">
        <f>INDEX($AU$22:$AU88,MATCH(AH89+1,$AT$22:$AT88,1))</f>
        <v>37</v>
      </c>
      <c r="AP89">
        <f t="shared" si="16"/>
        <v>40</v>
      </c>
      <c r="AQ89">
        <f>INDEX($AT$22:$AT88,MATCH(AP89,$AU$22:$AU88,1))</f>
        <v>114052</v>
      </c>
      <c r="AR89">
        <f t="shared" ref="AR89" si="90">AQ89+AH89</f>
        <v>157423</v>
      </c>
      <c r="AT89">
        <f>AT88</f>
        <v>114052</v>
      </c>
      <c r="AU89">
        <f>AU88</f>
        <v>40</v>
      </c>
      <c r="AV89" s="1">
        <f>(AE89-AE88-1)*AU88+AU89+AV88</f>
        <v>4626074</v>
      </c>
    </row>
    <row r="90" spans="2:48" x14ac:dyDescent="0.25">
      <c r="B90">
        <f t="shared" si="56"/>
        <v>88</v>
      </c>
      <c r="C90">
        <f t="shared" si="61"/>
        <v>1246</v>
      </c>
      <c r="D90">
        <f t="shared" si="62"/>
        <v>62</v>
      </c>
      <c r="E90" s="6">
        <f t="shared" si="58"/>
        <v>26</v>
      </c>
      <c r="F90">
        <f t="shared" si="59"/>
        <v>17</v>
      </c>
      <c r="H90">
        <f>VLOOKUP(D90+1,nc,5,TRUE)</f>
        <v>16</v>
      </c>
      <c r="I90">
        <f>VLOOKUP(E90,nc,5,TRUE)</f>
        <v>13</v>
      </c>
      <c r="K90">
        <f t="shared" si="63"/>
        <v>61</v>
      </c>
      <c r="L90">
        <f>VLOOKUP(K90,nc,2,FALSE)</f>
        <v>795</v>
      </c>
      <c r="M90">
        <f t="shared" si="64"/>
        <v>27</v>
      </c>
      <c r="N90">
        <f>VLOOKUP(M90,nc,2,FALSE)</f>
        <v>283</v>
      </c>
      <c r="O90">
        <f t="shared" si="65"/>
        <v>1247</v>
      </c>
      <c r="Q90">
        <f t="shared" si="66"/>
        <v>62</v>
      </c>
      <c r="R90">
        <f>VLOOKUP(Q90,nc,2,FALSE)</f>
        <v>811</v>
      </c>
      <c r="S90">
        <f t="shared" si="67"/>
        <v>26</v>
      </c>
      <c r="T90">
        <f>VLOOKUP(S90,nc,2,FALSE)</f>
        <v>269</v>
      </c>
      <c r="U90">
        <f t="shared" si="68"/>
        <v>1246</v>
      </c>
      <c r="W90">
        <f t="shared" si="69"/>
        <v>14</v>
      </c>
      <c r="X90">
        <f t="shared" si="70"/>
        <v>13</v>
      </c>
      <c r="AE90" s="1">
        <f>AR89</f>
        <v>157423</v>
      </c>
      <c r="AF90" t="s">
        <v>2</v>
      </c>
      <c r="AG90">
        <f>AE90-AH90</f>
        <v>114051</v>
      </c>
      <c r="AH90">
        <f>AH89+1</f>
        <v>43372</v>
      </c>
      <c r="AJ90">
        <f>INDEX($AU$22:$AU89,MATCH(AG90+1,$AT$22:$AT89,1))</f>
        <v>40</v>
      </c>
      <c r="AK90">
        <f t="shared" si="14"/>
        <v>38</v>
      </c>
      <c r="AL90">
        <f>INDEX($AT$22:$AT89,MATCH(AK90,$AU$22:$AU89,1))</f>
        <v>59865</v>
      </c>
      <c r="AM90">
        <f t="shared" ref="AM90" si="91">AG90+AL90</f>
        <v>173916</v>
      </c>
      <c r="AT90">
        <f>AE90</f>
        <v>157423</v>
      </c>
      <c r="AU90">
        <f>AU89+1</f>
        <v>41</v>
      </c>
      <c r="AV90" s="1">
        <f>(AE90-AE89-1)*AU89+AU90+AV89</f>
        <v>5882955</v>
      </c>
    </row>
    <row r="91" spans="2:48" x14ac:dyDescent="0.25">
      <c r="B91">
        <f t="shared" si="56"/>
        <v>89</v>
      </c>
      <c r="C91">
        <f t="shared" si="61"/>
        <v>1263</v>
      </c>
      <c r="D91">
        <f t="shared" si="62"/>
        <v>63</v>
      </c>
      <c r="E91" s="6">
        <f t="shared" si="58"/>
        <v>26</v>
      </c>
      <c r="F91">
        <f t="shared" si="59"/>
        <v>17</v>
      </c>
      <c r="H91">
        <f>VLOOKUP(D91+1,nc,5,TRUE)</f>
        <v>16</v>
      </c>
      <c r="I91">
        <f>VLOOKUP(E91,nc,5,TRUE)</f>
        <v>13</v>
      </c>
      <c r="K91">
        <f t="shared" si="63"/>
        <v>62</v>
      </c>
      <c r="L91">
        <f>VLOOKUP(K91,nc,2,FALSE)</f>
        <v>811</v>
      </c>
      <c r="M91">
        <f t="shared" si="64"/>
        <v>27</v>
      </c>
      <c r="N91">
        <f>VLOOKUP(M91,nc,2,FALSE)</f>
        <v>283</v>
      </c>
      <c r="O91">
        <f t="shared" si="65"/>
        <v>1264</v>
      </c>
      <c r="Q91">
        <f t="shared" si="66"/>
        <v>63</v>
      </c>
      <c r="R91">
        <f>VLOOKUP(Q91,nc,2,FALSE)</f>
        <v>827</v>
      </c>
      <c r="S91">
        <f t="shared" si="67"/>
        <v>26</v>
      </c>
      <c r="T91">
        <f>VLOOKUP(S91,nc,2,FALSE)</f>
        <v>269</v>
      </c>
      <c r="U91">
        <f t="shared" si="68"/>
        <v>1263</v>
      </c>
      <c r="W91">
        <f t="shared" si="69"/>
        <v>14</v>
      </c>
      <c r="X91">
        <f t="shared" si="70"/>
        <v>13</v>
      </c>
      <c r="AE91" s="1">
        <f>AM90</f>
        <v>173916</v>
      </c>
      <c r="AF91" t="s">
        <v>3</v>
      </c>
      <c r="AG91">
        <f>AG90+1</f>
        <v>114052</v>
      </c>
      <c r="AH91">
        <f>AE91-AG91</f>
        <v>59864</v>
      </c>
      <c r="AO91">
        <f>INDEX($AU$22:$AU90,MATCH(AH91+1,$AT$22:$AT90,1))</f>
        <v>38</v>
      </c>
      <c r="AP91">
        <f t="shared" si="16"/>
        <v>41</v>
      </c>
      <c r="AQ91">
        <f>INDEX($AT$22:$AT90,MATCH(AP91,$AU$22:$AU90,1))</f>
        <v>157423</v>
      </c>
      <c r="AR91">
        <f t="shared" ref="AR91" si="92">AQ91+AH91</f>
        <v>217287</v>
      </c>
      <c r="AT91">
        <f>AT90</f>
        <v>157423</v>
      </c>
      <c r="AU91">
        <f>AU90</f>
        <v>41</v>
      </c>
      <c r="AV91" s="1">
        <f>(AE91-AE90-1)*AU90+AU91+AV90</f>
        <v>6559168</v>
      </c>
    </row>
    <row r="92" spans="2:48" x14ac:dyDescent="0.25">
      <c r="B92">
        <f t="shared" si="56"/>
        <v>90</v>
      </c>
      <c r="C92">
        <f t="shared" si="61"/>
        <v>1280</v>
      </c>
      <c r="D92">
        <f t="shared" si="62"/>
        <v>64</v>
      </c>
      <c r="E92" s="6">
        <f t="shared" si="58"/>
        <v>26</v>
      </c>
      <c r="F92">
        <f t="shared" si="59"/>
        <v>17</v>
      </c>
      <c r="H92">
        <f>VLOOKUP(D92+1,nc,5,TRUE)</f>
        <v>16</v>
      </c>
      <c r="I92">
        <f>VLOOKUP(E92,nc,5,TRUE)</f>
        <v>13</v>
      </c>
      <c r="K92">
        <f t="shared" si="63"/>
        <v>63</v>
      </c>
      <c r="L92">
        <f>VLOOKUP(K92,nc,2,FALSE)</f>
        <v>827</v>
      </c>
      <c r="M92">
        <f t="shared" si="64"/>
        <v>27</v>
      </c>
      <c r="N92">
        <f>VLOOKUP(M92,nc,2,FALSE)</f>
        <v>283</v>
      </c>
      <c r="O92">
        <f t="shared" si="65"/>
        <v>1281</v>
      </c>
      <c r="Q92">
        <f t="shared" si="66"/>
        <v>64</v>
      </c>
      <c r="R92">
        <f>VLOOKUP(Q92,nc,2,FALSE)</f>
        <v>843</v>
      </c>
      <c r="S92">
        <f t="shared" si="67"/>
        <v>26</v>
      </c>
      <c r="T92">
        <f>VLOOKUP(S92,nc,2,FALSE)</f>
        <v>269</v>
      </c>
      <c r="U92">
        <f t="shared" si="68"/>
        <v>1280</v>
      </c>
      <c r="W92">
        <f t="shared" si="69"/>
        <v>14</v>
      </c>
      <c r="X92">
        <f t="shared" si="70"/>
        <v>13</v>
      </c>
      <c r="AE92" s="1">
        <f>AR91</f>
        <v>217287</v>
      </c>
      <c r="AF92" t="s">
        <v>2</v>
      </c>
      <c r="AG92">
        <f>AE92-AH92</f>
        <v>157422</v>
      </c>
      <c r="AH92">
        <f>AH91+1</f>
        <v>59865</v>
      </c>
      <c r="AJ92">
        <f>INDEX($AU$22:$AU91,MATCH(AG92+1,$AT$22:$AT91,1))</f>
        <v>41</v>
      </c>
      <c r="AK92">
        <f t="shared" ref="AK92:AK98" si="93">AJ92-2</f>
        <v>39</v>
      </c>
      <c r="AL92">
        <f>INDEX($AT$22:$AT91,MATCH(AK92,$AU$22:$AU91,1))</f>
        <v>82630</v>
      </c>
      <c r="AM92">
        <f t="shared" ref="AM92" si="94">AG92+AL92</f>
        <v>240052</v>
      </c>
      <c r="AT92">
        <f>AE92</f>
        <v>217287</v>
      </c>
      <c r="AU92">
        <f>AU91+1</f>
        <v>42</v>
      </c>
      <c r="AV92" s="1">
        <f>(AE92-AE91-1)*AU91+AU92+AV91</f>
        <v>8337380</v>
      </c>
    </row>
    <row r="93" spans="2:48" x14ac:dyDescent="0.25">
      <c r="B93">
        <f t="shared" si="56"/>
        <v>91</v>
      </c>
      <c r="C93">
        <f t="shared" si="61"/>
        <v>1297</v>
      </c>
      <c r="D93">
        <f t="shared" si="62"/>
        <v>65</v>
      </c>
      <c r="E93" s="6">
        <f t="shared" si="58"/>
        <v>26</v>
      </c>
      <c r="F93">
        <f t="shared" si="59"/>
        <v>17</v>
      </c>
      <c r="H93">
        <f>VLOOKUP(D93+1,nc,5,TRUE)</f>
        <v>16</v>
      </c>
      <c r="I93">
        <f>VLOOKUP(E93,nc,5,TRUE)</f>
        <v>13</v>
      </c>
      <c r="K93">
        <f t="shared" si="63"/>
        <v>64</v>
      </c>
      <c r="L93">
        <f>VLOOKUP(K93,nc,2,FALSE)</f>
        <v>843</v>
      </c>
      <c r="M93">
        <f t="shared" si="64"/>
        <v>27</v>
      </c>
      <c r="N93">
        <f>VLOOKUP(M93,nc,2,FALSE)</f>
        <v>283</v>
      </c>
      <c r="O93">
        <f t="shared" si="65"/>
        <v>1298</v>
      </c>
      <c r="Q93">
        <f t="shared" si="66"/>
        <v>65</v>
      </c>
      <c r="R93">
        <f>VLOOKUP(Q93,nc,2,FALSE)</f>
        <v>859</v>
      </c>
      <c r="S93">
        <f t="shared" si="67"/>
        <v>26</v>
      </c>
      <c r="T93">
        <f>VLOOKUP(S93,nc,2,FALSE)</f>
        <v>269</v>
      </c>
      <c r="U93">
        <f t="shared" si="68"/>
        <v>1297</v>
      </c>
      <c r="W93">
        <f t="shared" si="69"/>
        <v>14</v>
      </c>
      <c r="X93">
        <f t="shared" si="70"/>
        <v>13</v>
      </c>
      <c r="AE93" s="1">
        <f>AM92</f>
        <v>240052</v>
      </c>
      <c r="AF93" t="s">
        <v>3</v>
      </c>
      <c r="AG93">
        <f>AG92+1</f>
        <v>157423</v>
      </c>
      <c r="AH93">
        <f>AE93-AG93</f>
        <v>82629</v>
      </c>
      <c r="AO93">
        <f>INDEX($AU$22:$AU92,MATCH(AH93+1,$AT$22:$AT92,1))</f>
        <v>39</v>
      </c>
      <c r="AP93">
        <f t="shared" ref="AP93:AP99" si="95">AO93+3</f>
        <v>42</v>
      </c>
      <c r="AQ93">
        <f>INDEX($AT$22:$AT92,MATCH(AP93,$AU$22:$AU92,1))</f>
        <v>217287</v>
      </c>
      <c r="AR93">
        <f t="shared" ref="AR93" si="96">AQ93+AH93</f>
        <v>299916</v>
      </c>
      <c r="AT93">
        <f>AT92</f>
        <v>217287</v>
      </c>
      <c r="AU93">
        <f>AU92</f>
        <v>42</v>
      </c>
      <c r="AV93" s="1">
        <f>(AE93-AE92-1)*AU92+AU93+AV92</f>
        <v>9293510</v>
      </c>
    </row>
    <row r="94" spans="2:48" x14ac:dyDescent="0.25">
      <c r="B94">
        <f t="shared" si="56"/>
        <v>92</v>
      </c>
      <c r="C94">
        <f t="shared" si="61"/>
        <v>1314</v>
      </c>
      <c r="D94">
        <f t="shared" si="62"/>
        <v>66</v>
      </c>
      <c r="E94" s="6">
        <f t="shared" si="58"/>
        <v>26</v>
      </c>
      <c r="F94">
        <f t="shared" si="59"/>
        <v>17</v>
      </c>
      <c r="H94">
        <f>VLOOKUP(D94+1,nc,5,TRUE)</f>
        <v>16</v>
      </c>
      <c r="I94">
        <f>VLOOKUP(E94,nc,5,TRUE)</f>
        <v>13</v>
      </c>
      <c r="K94">
        <f t="shared" si="63"/>
        <v>65</v>
      </c>
      <c r="L94">
        <f>VLOOKUP(K94,nc,2,FALSE)</f>
        <v>859</v>
      </c>
      <c r="M94">
        <f t="shared" si="64"/>
        <v>27</v>
      </c>
      <c r="N94">
        <f>VLOOKUP(M94,nc,2,FALSE)</f>
        <v>283</v>
      </c>
      <c r="O94">
        <f t="shared" si="65"/>
        <v>1315</v>
      </c>
      <c r="Q94">
        <f t="shared" si="66"/>
        <v>66</v>
      </c>
      <c r="R94">
        <f>VLOOKUP(Q94,nc,2,FALSE)</f>
        <v>875</v>
      </c>
      <c r="S94">
        <f t="shared" si="67"/>
        <v>26</v>
      </c>
      <c r="T94">
        <f>VLOOKUP(S94,nc,2,FALSE)</f>
        <v>269</v>
      </c>
      <c r="U94">
        <f t="shared" si="68"/>
        <v>1314</v>
      </c>
      <c r="W94">
        <f t="shared" si="69"/>
        <v>14</v>
      </c>
      <c r="X94">
        <f t="shared" si="70"/>
        <v>13</v>
      </c>
      <c r="AE94" s="1">
        <f>AR93</f>
        <v>299916</v>
      </c>
      <c r="AF94" t="s">
        <v>2</v>
      </c>
      <c r="AG94">
        <f>AE94-AH94</f>
        <v>217286</v>
      </c>
      <c r="AH94">
        <f>AH93+1</f>
        <v>82630</v>
      </c>
      <c r="AJ94">
        <f>INDEX($AU$22:$AU93,MATCH(AG94+1,$AT$22:$AT93,1))</f>
        <v>42</v>
      </c>
      <c r="AK94">
        <f t="shared" si="93"/>
        <v>40</v>
      </c>
      <c r="AL94">
        <f>INDEX($AT$22:$AT93,MATCH(AK94,$AU$22:$AU93,1))</f>
        <v>114052</v>
      </c>
      <c r="AM94">
        <f t="shared" ref="AM94" si="97">AG94+AL94</f>
        <v>331338</v>
      </c>
      <c r="AT94">
        <f>AE94</f>
        <v>299916</v>
      </c>
      <c r="AU94">
        <f>AU93+1</f>
        <v>43</v>
      </c>
      <c r="AV94" s="1">
        <f>(AE94-AE93-1)*AU93+AU94+AV93</f>
        <v>11807799</v>
      </c>
    </row>
    <row r="95" spans="2:48" x14ac:dyDescent="0.25">
      <c r="B95">
        <f t="shared" si="56"/>
        <v>93</v>
      </c>
      <c r="C95">
        <f t="shared" si="61"/>
        <v>1331</v>
      </c>
      <c r="D95">
        <f t="shared" si="62"/>
        <v>67</v>
      </c>
      <c r="E95" s="6">
        <f t="shared" si="58"/>
        <v>26</v>
      </c>
      <c r="F95">
        <f t="shared" si="59"/>
        <v>17</v>
      </c>
      <c r="H95">
        <f>VLOOKUP(D95+1,nc,5,TRUE)</f>
        <v>16</v>
      </c>
      <c r="I95">
        <f>VLOOKUP(E95,nc,5,TRUE)</f>
        <v>13</v>
      </c>
      <c r="K95">
        <f t="shared" si="63"/>
        <v>66</v>
      </c>
      <c r="L95">
        <f>VLOOKUP(K95,nc,2,FALSE)</f>
        <v>875</v>
      </c>
      <c r="M95">
        <f t="shared" si="64"/>
        <v>27</v>
      </c>
      <c r="N95">
        <f>VLOOKUP(M95,nc,2,FALSE)</f>
        <v>283</v>
      </c>
      <c r="O95">
        <f t="shared" si="65"/>
        <v>1332</v>
      </c>
      <c r="Q95">
        <f t="shared" si="66"/>
        <v>67</v>
      </c>
      <c r="R95">
        <f>VLOOKUP(Q95,nc,2,FALSE)</f>
        <v>891</v>
      </c>
      <c r="S95">
        <f t="shared" si="67"/>
        <v>26</v>
      </c>
      <c r="T95">
        <f>VLOOKUP(S95,nc,2,FALSE)</f>
        <v>269</v>
      </c>
      <c r="U95">
        <f t="shared" si="68"/>
        <v>1331</v>
      </c>
      <c r="W95">
        <f t="shared" si="69"/>
        <v>14</v>
      </c>
      <c r="X95">
        <f t="shared" si="70"/>
        <v>13</v>
      </c>
      <c r="AE95" s="1">
        <f>AM94</f>
        <v>331338</v>
      </c>
      <c r="AF95" t="s">
        <v>3</v>
      </c>
      <c r="AG95">
        <f>AG94+1</f>
        <v>217287</v>
      </c>
      <c r="AH95">
        <f>AE95-AG95</f>
        <v>114051</v>
      </c>
      <c r="AO95">
        <f>INDEX($AU$22:$AU94,MATCH(AH95+1,$AT$22:$AT94,1))</f>
        <v>40</v>
      </c>
      <c r="AP95">
        <f t="shared" si="95"/>
        <v>43</v>
      </c>
      <c r="AQ95">
        <f>INDEX($AT$22:$AT94,MATCH(AP95,$AU$22:$AU94,1))</f>
        <v>299916</v>
      </c>
      <c r="AR95">
        <f t="shared" ref="AR95" si="98">AQ95+AH95</f>
        <v>413967</v>
      </c>
      <c r="AT95">
        <f>AT94</f>
        <v>299916</v>
      </c>
      <c r="AU95">
        <f>AU94</f>
        <v>43</v>
      </c>
      <c r="AV95" s="1">
        <f>(AE95-AE94-1)*AU94+AU95+AV94</f>
        <v>13158945</v>
      </c>
    </row>
    <row r="96" spans="2:48" x14ac:dyDescent="0.25">
      <c r="B96">
        <f t="shared" si="56"/>
        <v>94</v>
      </c>
      <c r="C96">
        <f t="shared" si="61"/>
        <v>1348</v>
      </c>
      <c r="D96">
        <f t="shared" si="62"/>
        <v>68</v>
      </c>
      <c r="E96" s="6">
        <f t="shared" si="58"/>
        <v>26</v>
      </c>
      <c r="F96">
        <f t="shared" si="59"/>
        <v>17</v>
      </c>
      <c r="H96">
        <f>VLOOKUP(D96+1,nc,5,TRUE)</f>
        <v>16</v>
      </c>
      <c r="I96">
        <f>VLOOKUP(E96,nc,5,TRUE)</f>
        <v>13</v>
      </c>
      <c r="K96">
        <f t="shared" si="63"/>
        <v>67</v>
      </c>
      <c r="L96">
        <f>VLOOKUP(K96,nc,2,FALSE)</f>
        <v>891</v>
      </c>
      <c r="M96">
        <f t="shared" si="64"/>
        <v>27</v>
      </c>
      <c r="N96">
        <f>VLOOKUP(M96,nc,2,FALSE)</f>
        <v>283</v>
      </c>
      <c r="O96">
        <f t="shared" si="65"/>
        <v>1349</v>
      </c>
      <c r="Q96">
        <f t="shared" si="66"/>
        <v>68</v>
      </c>
      <c r="R96">
        <f>VLOOKUP(Q96,nc,2,FALSE)</f>
        <v>907</v>
      </c>
      <c r="S96">
        <f t="shared" si="67"/>
        <v>26</v>
      </c>
      <c r="T96">
        <f>VLOOKUP(S96,nc,2,FALSE)</f>
        <v>269</v>
      </c>
      <c r="U96">
        <f t="shared" si="68"/>
        <v>1348</v>
      </c>
      <c r="W96">
        <f t="shared" si="69"/>
        <v>14</v>
      </c>
      <c r="X96">
        <f t="shared" si="70"/>
        <v>13</v>
      </c>
      <c r="AE96" s="1">
        <f>AR95</f>
        <v>413967</v>
      </c>
      <c r="AF96" t="s">
        <v>2</v>
      </c>
      <c r="AG96">
        <f>AE96-AH96</f>
        <v>299915</v>
      </c>
      <c r="AH96">
        <f>AH95+1</f>
        <v>114052</v>
      </c>
      <c r="AJ96">
        <f>INDEX($AU$22:$AU95,MATCH(AG96+1,$AT$22:$AT95,1))</f>
        <v>43</v>
      </c>
      <c r="AK96">
        <f t="shared" si="93"/>
        <v>41</v>
      </c>
      <c r="AL96">
        <f>INDEX($AT$22:$AT95,MATCH(AK96,$AU$22:$AU95,1))</f>
        <v>157423</v>
      </c>
      <c r="AM96">
        <f t="shared" ref="AM96" si="99">AG96+AL96</f>
        <v>457338</v>
      </c>
      <c r="AT96">
        <f>AE96</f>
        <v>413967</v>
      </c>
      <c r="AU96">
        <f>AU95+1</f>
        <v>44</v>
      </c>
      <c r="AV96" s="1">
        <f>(AE96-AE95-1)*AU95+AU96+AV95</f>
        <v>16711993</v>
      </c>
    </row>
    <row r="97" spans="2:48" x14ac:dyDescent="0.25">
      <c r="B97">
        <f t="shared" si="56"/>
        <v>95</v>
      </c>
      <c r="C97">
        <f t="shared" si="61"/>
        <v>1365</v>
      </c>
      <c r="D97">
        <f t="shared" si="62"/>
        <v>69</v>
      </c>
      <c r="E97" s="6">
        <f t="shared" si="58"/>
        <v>26</v>
      </c>
      <c r="F97">
        <f t="shared" si="59"/>
        <v>17</v>
      </c>
      <c r="H97">
        <f>VLOOKUP(D97+1,nc,5,TRUE)</f>
        <v>17</v>
      </c>
      <c r="I97">
        <f>VLOOKUP(E97,nc,5,TRUE)</f>
        <v>13</v>
      </c>
      <c r="K97">
        <f t="shared" si="63"/>
        <v>68</v>
      </c>
      <c r="L97">
        <f>VLOOKUP(K97,nc,2,FALSE)</f>
        <v>907</v>
      </c>
      <c r="M97">
        <f t="shared" si="64"/>
        <v>27</v>
      </c>
      <c r="N97">
        <f>VLOOKUP(M97,nc,2,FALSE)</f>
        <v>283</v>
      </c>
      <c r="O97">
        <f t="shared" si="65"/>
        <v>1366</v>
      </c>
      <c r="Q97">
        <f t="shared" si="66"/>
        <v>69</v>
      </c>
      <c r="R97">
        <f>VLOOKUP(Q97,nc,2,FALSE)</f>
        <v>923</v>
      </c>
      <c r="S97">
        <f t="shared" si="67"/>
        <v>26</v>
      </c>
      <c r="T97">
        <f>VLOOKUP(S97,nc,2,FALSE)</f>
        <v>269</v>
      </c>
      <c r="U97">
        <f t="shared" si="68"/>
        <v>1365</v>
      </c>
      <c r="W97">
        <f t="shared" si="69"/>
        <v>14</v>
      </c>
      <c r="X97">
        <f t="shared" si="70"/>
        <v>13</v>
      </c>
      <c r="AE97" s="1">
        <f>AM96</f>
        <v>457338</v>
      </c>
      <c r="AF97" t="s">
        <v>3</v>
      </c>
      <c r="AG97">
        <f>AG96+1</f>
        <v>299916</v>
      </c>
      <c r="AH97">
        <f>AE97-AG97</f>
        <v>157422</v>
      </c>
      <c r="AO97">
        <f>INDEX($AU$22:$AU96,MATCH(AH97+1,$AT$22:$AT96,1))</f>
        <v>41</v>
      </c>
      <c r="AP97">
        <f t="shared" si="95"/>
        <v>44</v>
      </c>
      <c r="AQ97">
        <f>INDEX($AT$22:$AT96,MATCH(AP97,$AU$22:$AU96,1))</f>
        <v>413967</v>
      </c>
      <c r="AR97">
        <f t="shared" ref="AR97" si="100">AQ97+AH97</f>
        <v>571389</v>
      </c>
      <c r="AT97">
        <f>AT96</f>
        <v>413967</v>
      </c>
      <c r="AU97">
        <f>AU96</f>
        <v>44</v>
      </c>
      <c r="AV97" s="1">
        <f>(AE97-AE96-1)*AU96+AU97+AV96</f>
        <v>18620317</v>
      </c>
    </row>
    <row r="98" spans="2:48" x14ac:dyDescent="0.25">
      <c r="B98" s="6">
        <f t="shared" si="56"/>
        <v>96</v>
      </c>
      <c r="C98" s="6">
        <f t="shared" si="61"/>
        <v>1383</v>
      </c>
      <c r="D98" s="6">
        <f t="shared" si="62"/>
        <v>69</v>
      </c>
      <c r="E98" s="6">
        <f t="shared" si="58"/>
        <v>27</v>
      </c>
      <c r="F98" s="6">
        <f t="shared" si="59"/>
        <v>18</v>
      </c>
      <c r="G98" s="6"/>
      <c r="H98" s="6">
        <f>VLOOKUP(D98+1,nc,5,TRUE)</f>
        <v>17</v>
      </c>
      <c r="I98" s="6">
        <f>VLOOKUP(E98,nc,5,TRUE)</f>
        <v>14</v>
      </c>
      <c r="J98" s="6"/>
      <c r="K98" s="6">
        <f t="shared" si="63"/>
        <v>69</v>
      </c>
      <c r="L98" s="6">
        <f>VLOOKUP(K98,nc,2,FALSE)</f>
        <v>923</v>
      </c>
      <c r="M98" s="6">
        <f t="shared" si="64"/>
        <v>27</v>
      </c>
      <c r="N98" s="6">
        <f>VLOOKUP(M98,nc,2,FALSE)</f>
        <v>283</v>
      </c>
      <c r="O98" s="6">
        <f t="shared" si="65"/>
        <v>1383</v>
      </c>
      <c r="P98" s="6"/>
      <c r="Q98" s="6">
        <f t="shared" si="66"/>
        <v>70</v>
      </c>
      <c r="R98" s="6">
        <f>VLOOKUP(Q98,nc,2,FALSE)</f>
        <v>940</v>
      </c>
      <c r="S98" s="6">
        <f t="shared" si="67"/>
        <v>26</v>
      </c>
      <c r="T98" s="6">
        <f>VLOOKUP(S98,nc,2,FALSE)</f>
        <v>269</v>
      </c>
      <c r="U98" s="6">
        <f t="shared" si="68"/>
        <v>1383</v>
      </c>
      <c r="V98" s="6"/>
      <c r="W98" s="6">
        <f t="shared" si="69"/>
        <v>14</v>
      </c>
      <c r="X98" s="6">
        <f t="shared" si="70"/>
        <v>14</v>
      </c>
      <c r="AE98" s="1">
        <f>AR97</f>
        <v>571389</v>
      </c>
      <c r="AF98" t="s">
        <v>2</v>
      </c>
      <c r="AG98">
        <f>AE98-AH98</f>
        <v>413966</v>
      </c>
      <c r="AH98">
        <f>AH97+1</f>
        <v>157423</v>
      </c>
      <c r="AJ98">
        <f>INDEX($AU$22:$AU97,MATCH(AG98+1,$AT$22:$AT97,1))</f>
        <v>44</v>
      </c>
      <c r="AK98">
        <f t="shared" si="93"/>
        <v>42</v>
      </c>
      <c r="AL98">
        <f>INDEX($AT$22:$AT97,MATCH(AK98,$AU$22:$AU97,1))</f>
        <v>217287</v>
      </c>
      <c r="AM98">
        <f t="shared" ref="AM98" si="101">AG98+AL98</f>
        <v>631253</v>
      </c>
      <c r="AT98">
        <f>AE98</f>
        <v>571389</v>
      </c>
      <c r="AU98">
        <f>AU97+1</f>
        <v>45</v>
      </c>
      <c r="AV98" s="1">
        <f>(AE98-AE97-1)*AU97+AU98+AV97</f>
        <v>23638562</v>
      </c>
    </row>
    <row r="99" spans="2:48" x14ac:dyDescent="0.25">
      <c r="B99">
        <f t="shared" si="56"/>
        <v>97</v>
      </c>
      <c r="C99">
        <f t="shared" si="61"/>
        <v>1401</v>
      </c>
      <c r="D99" s="6">
        <f t="shared" si="62"/>
        <v>69</v>
      </c>
      <c r="E99">
        <f t="shared" si="58"/>
        <v>28</v>
      </c>
      <c r="F99">
        <f t="shared" si="59"/>
        <v>18</v>
      </c>
      <c r="H99">
        <f>VLOOKUP(D99+1,nc,5,TRUE)</f>
        <v>17</v>
      </c>
      <c r="I99">
        <f>VLOOKUP(E99,nc,5,TRUE)</f>
        <v>14</v>
      </c>
      <c r="K99">
        <f t="shared" si="63"/>
        <v>69</v>
      </c>
      <c r="L99">
        <f>VLOOKUP(K99,nc,2,FALSE)</f>
        <v>923</v>
      </c>
      <c r="M99">
        <f t="shared" si="64"/>
        <v>28</v>
      </c>
      <c r="N99">
        <f>VLOOKUP(M99,nc,2,FALSE)</f>
        <v>297</v>
      </c>
      <c r="O99">
        <f t="shared" si="65"/>
        <v>1401</v>
      </c>
      <c r="Q99">
        <f t="shared" si="66"/>
        <v>70</v>
      </c>
      <c r="R99">
        <f>VLOOKUP(Q99,nc,2,FALSE)</f>
        <v>940</v>
      </c>
      <c r="S99">
        <f t="shared" si="67"/>
        <v>27</v>
      </c>
      <c r="T99">
        <f>VLOOKUP(S99,nc,2,FALSE)</f>
        <v>283</v>
      </c>
      <c r="U99">
        <f t="shared" si="68"/>
        <v>1401</v>
      </c>
      <c r="W99">
        <f t="shared" si="69"/>
        <v>14</v>
      </c>
      <c r="X99">
        <f t="shared" si="70"/>
        <v>14</v>
      </c>
      <c r="AE99" s="1">
        <f>AM98</f>
        <v>631253</v>
      </c>
      <c r="AF99" t="s">
        <v>3</v>
      </c>
      <c r="AG99">
        <f>AG98+1</f>
        <v>413967</v>
      </c>
      <c r="AH99">
        <f>AE99-AG99</f>
        <v>217286</v>
      </c>
      <c r="AO99">
        <f>INDEX($AU$22:$AU98,MATCH(AH99+1,$AT$22:$AT98,1))</f>
        <v>42</v>
      </c>
      <c r="AP99">
        <f t="shared" si="95"/>
        <v>45</v>
      </c>
      <c r="AQ99">
        <f>INDEX($AT$22:$AT98,MATCH(AP99,$AU$22:$AU98,1))</f>
        <v>571389</v>
      </c>
      <c r="AR99">
        <f t="shared" ref="AR99" si="102">AQ99+AH99</f>
        <v>788675</v>
      </c>
      <c r="AT99">
        <f>AT98</f>
        <v>571389</v>
      </c>
      <c r="AU99">
        <f>AU98</f>
        <v>45</v>
      </c>
      <c r="AV99" s="1">
        <f>(AE99-AE98-1)*AU98+AU99+AV98</f>
        <v>26332442</v>
      </c>
    </row>
    <row r="100" spans="2:48" x14ac:dyDescent="0.25">
      <c r="B100">
        <f t="shared" si="56"/>
        <v>98</v>
      </c>
      <c r="C100">
        <f t="shared" si="61"/>
        <v>1419</v>
      </c>
      <c r="D100" s="6">
        <f t="shared" si="62"/>
        <v>69</v>
      </c>
      <c r="E100">
        <f t="shared" si="58"/>
        <v>29</v>
      </c>
      <c r="F100">
        <f t="shared" si="59"/>
        <v>18</v>
      </c>
      <c r="H100">
        <f>VLOOKUP(D100+1,nc,5,TRUE)</f>
        <v>17</v>
      </c>
      <c r="I100">
        <f>VLOOKUP(E100,nc,5,TRUE)</f>
        <v>14</v>
      </c>
      <c r="K100">
        <f t="shared" si="63"/>
        <v>69</v>
      </c>
      <c r="L100">
        <f>VLOOKUP(K100,nc,2,FALSE)</f>
        <v>923</v>
      </c>
      <c r="M100">
        <f t="shared" si="64"/>
        <v>29</v>
      </c>
      <c r="N100">
        <f>VLOOKUP(M100,nc,2,FALSE)</f>
        <v>311</v>
      </c>
      <c r="O100">
        <f t="shared" si="65"/>
        <v>1419</v>
      </c>
      <c r="Q100">
        <f t="shared" si="66"/>
        <v>70</v>
      </c>
      <c r="R100">
        <f>VLOOKUP(Q100,nc,2,FALSE)</f>
        <v>940</v>
      </c>
      <c r="S100">
        <f t="shared" si="67"/>
        <v>28</v>
      </c>
      <c r="T100">
        <f>VLOOKUP(S100,nc,2,FALSE)</f>
        <v>297</v>
      </c>
      <c r="U100">
        <f t="shared" si="68"/>
        <v>1419</v>
      </c>
      <c r="W100">
        <f t="shared" si="69"/>
        <v>14</v>
      </c>
      <c r="X100">
        <f t="shared" si="70"/>
        <v>14</v>
      </c>
      <c r="AE100" s="1">
        <f>AR99</f>
        <v>788675</v>
      </c>
      <c r="AF100" t="s">
        <v>2</v>
      </c>
      <c r="AG100">
        <f>AE100-AH100</f>
        <v>571388</v>
      </c>
      <c r="AH100">
        <f>AH99+1</f>
        <v>217287</v>
      </c>
      <c r="AJ100">
        <f>INDEX($AU$22:$AU99,MATCH(AG100+1,$AT$22:$AT99,1))</f>
        <v>45</v>
      </c>
      <c r="AK100">
        <f t="shared" ref="AK100:AK110" si="103">AJ100-2</f>
        <v>43</v>
      </c>
      <c r="AL100">
        <f>INDEX($AT$22:$AT99,MATCH(AK100,$AU$22:$AU99,1))</f>
        <v>299916</v>
      </c>
      <c r="AM100">
        <f t="shared" ref="AM100" si="104">AG100+AL100</f>
        <v>871304</v>
      </c>
      <c r="AT100">
        <f>AE100</f>
        <v>788675</v>
      </c>
      <c r="AU100">
        <f>AU99+1</f>
        <v>46</v>
      </c>
      <c r="AV100" s="1">
        <f>(AE100-AE99-1)*AU99+AU100+AV99</f>
        <v>33416433</v>
      </c>
    </row>
    <row r="101" spans="2:48" x14ac:dyDescent="0.25">
      <c r="B101">
        <f t="shared" si="56"/>
        <v>99</v>
      </c>
      <c r="C101">
        <f t="shared" si="61"/>
        <v>1437</v>
      </c>
      <c r="D101" s="6">
        <f t="shared" si="62"/>
        <v>69</v>
      </c>
      <c r="E101">
        <f t="shared" si="58"/>
        <v>30</v>
      </c>
      <c r="F101">
        <f t="shared" si="59"/>
        <v>18</v>
      </c>
      <c r="H101">
        <f>VLOOKUP(D101+1,nc,5,TRUE)</f>
        <v>17</v>
      </c>
      <c r="I101">
        <f>VLOOKUP(E101,nc,5,TRUE)</f>
        <v>14</v>
      </c>
      <c r="K101">
        <f t="shared" si="63"/>
        <v>69</v>
      </c>
      <c r="L101">
        <f>VLOOKUP(K101,nc,2,FALSE)</f>
        <v>923</v>
      </c>
      <c r="M101">
        <f t="shared" si="64"/>
        <v>30</v>
      </c>
      <c r="N101">
        <f>VLOOKUP(M101,nc,2,FALSE)</f>
        <v>325</v>
      </c>
      <c r="O101">
        <f t="shared" si="65"/>
        <v>1437</v>
      </c>
      <c r="Q101">
        <f t="shared" si="66"/>
        <v>70</v>
      </c>
      <c r="R101">
        <f>VLOOKUP(Q101,nc,2,FALSE)</f>
        <v>940</v>
      </c>
      <c r="S101">
        <f t="shared" si="67"/>
        <v>29</v>
      </c>
      <c r="T101">
        <f>VLOOKUP(S101,nc,2,FALSE)</f>
        <v>311</v>
      </c>
      <c r="U101">
        <f t="shared" si="68"/>
        <v>1437</v>
      </c>
      <c r="W101">
        <f t="shared" si="69"/>
        <v>14</v>
      </c>
      <c r="X101">
        <f t="shared" si="70"/>
        <v>14</v>
      </c>
      <c r="AE101" s="1">
        <f>AM100</f>
        <v>871304</v>
      </c>
      <c r="AF101" t="s">
        <v>3</v>
      </c>
      <c r="AG101">
        <f>AG100+1</f>
        <v>571389</v>
      </c>
      <c r="AH101">
        <f>AE101-AG101</f>
        <v>299915</v>
      </c>
      <c r="AO101">
        <f>INDEX($AU$22:$AU100,MATCH(AH101+1,$AT$22:$AT100,1))</f>
        <v>43</v>
      </c>
      <c r="AP101">
        <f t="shared" ref="AP101:AP111" si="105">AO101+3</f>
        <v>46</v>
      </c>
      <c r="AQ101">
        <f>INDEX($AT$22:$AT100,MATCH(AP101,$AU$22:$AU100,1))</f>
        <v>788675</v>
      </c>
      <c r="AR101">
        <f t="shared" ref="AR101" si="106">AQ101+AH101</f>
        <v>1088590</v>
      </c>
      <c r="AT101">
        <f>AT100</f>
        <v>788675</v>
      </c>
      <c r="AU101">
        <f>AU100</f>
        <v>46</v>
      </c>
      <c r="AV101" s="1">
        <f>(AE101-AE100-1)*AU100+AU101+AV100</f>
        <v>37217367</v>
      </c>
    </row>
    <row r="102" spans="2:48" x14ac:dyDescent="0.25">
      <c r="B102">
        <f t="shared" si="56"/>
        <v>100</v>
      </c>
      <c r="C102">
        <f t="shared" si="61"/>
        <v>1455</v>
      </c>
      <c r="D102" s="6">
        <f t="shared" si="62"/>
        <v>69</v>
      </c>
      <c r="E102">
        <f t="shared" si="58"/>
        <v>31</v>
      </c>
      <c r="F102">
        <f t="shared" si="59"/>
        <v>18</v>
      </c>
      <c r="H102">
        <f>VLOOKUP(D102+1,nc,5,TRUE)</f>
        <v>17</v>
      </c>
      <c r="I102">
        <f>VLOOKUP(E102,nc,5,TRUE)</f>
        <v>14</v>
      </c>
      <c r="K102">
        <f t="shared" si="63"/>
        <v>69</v>
      </c>
      <c r="L102">
        <f>VLOOKUP(K102,nc,2,FALSE)</f>
        <v>923</v>
      </c>
      <c r="M102">
        <f t="shared" si="64"/>
        <v>31</v>
      </c>
      <c r="N102">
        <f>VLOOKUP(M102,nc,2,FALSE)</f>
        <v>339</v>
      </c>
      <c r="O102">
        <f t="shared" si="65"/>
        <v>1455</v>
      </c>
      <c r="Q102">
        <f t="shared" si="66"/>
        <v>70</v>
      </c>
      <c r="R102">
        <f>VLOOKUP(Q102,nc,2,FALSE)</f>
        <v>940</v>
      </c>
      <c r="S102">
        <f t="shared" si="67"/>
        <v>30</v>
      </c>
      <c r="T102">
        <f>VLOOKUP(S102,nc,2,FALSE)</f>
        <v>325</v>
      </c>
      <c r="U102">
        <f t="shared" si="68"/>
        <v>1455</v>
      </c>
      <c r="W102">
        <f t="shared" si="69"/>
        <v>14</v>
      </c>
      <c r="X102">
        <f t="shared" si="70"/>
        <v>14</v>
      </c>
      <c r="AE102" s="1">
        <f>AR101</f>
        <v>1088590</v>
      </c>
      <c r="AF102" t="s">
        <v>2</v>
      </c>
      <c r="AG102">
        <f>AE102-AH102</f>
        <v>788674</v>
      </c>
      <c r="AH102">
        <f>AH101+1</f>
        <v>299916</v>
      </c>
      <c r="AJ102">
        <f>INDEX($AU$22:$AU101,MATCH(AG102+1,$AT$22:$AT101,1))</f>
        <v>46</v>
      </c>
      <c r="AK102">
        <f t="shared" si="103"/>
        <v>44</v>
      </c>
      <c r="AL102">
        <f>INDEX($AT$22:$AT101,MATCH(AK102,$AU$22:$AU101,1))</f>
        <v>413967</v>
      </c>
      <c r="AM102">
        <f t="shared" ref="AM102" si="107">AG102+AL102</f>
        <v>1202641</v>
      </c>
      <c r="AT102">
        <f>AE102</f>
        <v>1088590</v>
      </c>
      <c r="AU102">
        <f>AU101+1</f>
        <v>47</v>
      </c>
      <c r="AV102" s="1">
        <f>(AE102-AE101-1)*AU101+AU102+AV101</f>
        <v>47212524</v>
      </c>
    </row>
    <row r="103" spans="2:48" x14ac:dyDescent="0.25">
      <c r="B103">
        <f t="shared" si="56"/>
        <v>101</v>
      </c>
      <c r="C103">
        <f t="shared" si="61"/>
        <v>1473</v>
      </c>
      <c r="D103" s="6">
        <f t="shared" si="62"/>
        <v>69</v>
      </c>
      <c r="E103">
        <f t="shared" si="58"/>
        <v>32</v>
      </c>
      <c r="F103">
        <f t="shared" si="59"/>
        <v>18</v>
      </c>
      <c r="H103">
        <f>VLOOKUP(D103+1,nc,5,TRUE)</f>
        <v>17</v>
      </c>
      <c r="I103">
        <f>VLOOKUP(E103,nc,5,TRUE)</f>
        <v>14</v>
      </c>
      <c r="K103">
        <f t="shared" si="63"/>
        <v>69</v>
      </c>
      <c r="L103">
        <f>VLOOKUP(K103,nc,2,FALSE)</f>
        <v>923</v>
      </c>
      <c r="M103">
        <f t="shared" si="64"/>
        <v>32</v>
      </c>
      <c r="N103">
        <f>VLOOKUP(M103,nc,2,FALSE)</f>
        <v>353</v>
      </c>
      <c r="O103">
        <f t="shared" si="65"/>
        <v>1473</v>
      </c>
      <c r="Q103">
        <f t="shared" si="66"/>
        <v>70</v>
      </c>
      <c r="R103">
        <f>VLOOKUP(Q103,nc,2,FALSE)</f>
        <v>940</v>
      </c>
      <c r="S103">
        <f t="shared" si="67"/>
        <v>31</v>
      </c>
      <c r="T103">
        <f>VLOOKUP(S103,nc,2,FALSE)</f>
        <v>339</v>
      </c>
      <c r="U103">
        <f t="shared" si="68"/>
        <v>1473</v>
      </c>
      <c r="W103">
        <f t="shared" si="69"/>
        <v>14</v>
      </c>
      <c r="X103">
        <f t="shared" si="70"/>
        <v>14</v>
      </c>
      <c r="AE103" s="1">
        <f>AM102</f>
        <v>1202641</v>
      </c>
      <c r="AF103" t="s">
        <v>3</v>
      </c>
      <c r="AG103">
        <f>AG102+1</f>
        <v>788675</v>
      </c>
      <c r="AH103">
        <f>AE103-AG103</f>
        <v>413966</v>
      </c>
      <c r="AO103">
        <f>INDEX($AU$22:$AU102,MATCH(AH103+1,$AT$22:$AT102,1))</f>
        <v>44</v>
      </c>
      <c r="AP103">
        <f t="shared" si="105"/>
        <v>47</v>
      </c>
      <c r="AQ103">
        <f>INDEX($AT$22:$AT102,MATCH(AP103,$AU$22:$AU102,1))</f>
        <v>1088590</v>
      </c>
      <c r="AR103">
        <f t="shared" ref="AR103" si="108">AQ103+AH103</f>
        <v>1502556</v>
      </c>
      <c r="AT103">
        <f>AT102</f>
        <v>1088590</v>
      </c>
      <c r="AU103">
        <f>AU102</f>
        <v>47</v>
      </c>
      <c r="AV103" s="1">
        <f>(AE103-AE102-1)*AU102+AU103+AV102</f>
        <v>52572921</v>
      </c>
    </row>
    <row r="104" spans="2:48" x14ac:dyDescent="0.25">
      <c r="B104">
        <f t="shared" si="56"/>
        <v>102</v>
      </c>
      <c r="C104">
        <f t="shared" si="61"/>
        <v>1491</v>
      </c>
      <c r="D104" s="6">
        <f t="shared" si="62"/>
        <v>69</v>
      </c>
      <c r="E104">
        <f t="shared" si="58"/>
        <v>33</v>
      </c>
      <c r="F104">
        <f t="shared" si="59"/>
        <v>18</v>
      </c>
      <c r="H104">
        <f>VLOOKUP(D104+1,nc,5,TRUE)</f>
        <v>17</v>
      </c>
      <c r="I104">
        <f>VLOOKUP(E104,nc,5,TRUE)</f>
        <v>14</v>
      </c>
      <c r="K104">
        <f t="shared" si="63"/>
        <v>69</v>
      </c>
      <c r="L104">
        <f>VLOOKUP(K104,nc,2,FALSE)</f>
        <v>923</v>
      </c>
      <c r="M104">
        <f t="shared" si="64"/>
        <v>33</v>
      </c>
      <c r="N104">
        <f>VLOOKUP(M104,nc,2,FALSE)</f>
        <v>367</v>
      </c>
      <c r="O104">
        <f t="shared" si="65"/>
        <v>1491</v>
      </c>
      <c r="Q104">
        <f t="shared" si="66"/>
        <v>70</v>
      </c>
      <c r="R104">
        <f>VLOOKUP(Q104,nc,2,FALSE)</f>
        <v>940</v>
      </c>
      <c r="S104">
        <f t="shared" si="67"/>
        <v>32</v>
      </c>
      <c r="T104">
        <f>VLOOKUP(S104,nc,2,FALSE)</f>
        <v>353</v>
      </c>
      <c r="U104">
        <f t="shared" si="68"/>
        <v>1491</v>
      </c>
      <c r="W104">
        <f t="shared" si="69"/>
        <v>14</v>
      </c>
      <c r="X104">
        <f t="shared" si="70"/>
        <v>14</v>
      </c>
      <c r="AE104" s="1">
        <f>AR103</f>
        <v>1502556</v>
      </c>
      <c r="AF104" t="s">
        <v>2</v>
      </c>
      <c r="AG104">
        <f>AE104-AH104</f>
        <v>1088589</v>
      </c>
      <c r="AH104">
        <f>AH103+1</f>
        <v>413967</v>
      </c>
      <c r="AJ104">
        <f>INDEX($AU$22:$AU103,MATCH(AG104+1,$AT$22:$AT103,1))</f>
        <v>47</v>
      </c>
      <c r="AK104">
        <f t="shared" si="103"/>
        <v>45</v>
      </c>
      <c r="AL104">
        <f>INDEX($AT$22:$AT103,MATCH(AK104,$AU$22:$AU103,1))</f>
        <v>571389</v>
      </c>
      <c r="AM104">
        <f t="shared" ref="AM104" si="109">AG104+AL104</f>
        <v>1659978</v>
      </c>
      <c r="AT104">
        <f>AE104</f>
        <v>1502556</v>
      </c>
      <c r="AU104">
        <f>AU103+1</f>
        <v>48</v>
      </c>
      <c r="AV104" s="1">
        <f>(AE104-AE103-1)*AU103+AU104+AV103</f>
        <v>66668927</v>
      </c>
    </row>
    <row r="105" spans="2:48" x14ac:dyDescent="0.25">
      <c r="B105">
        <f t="shared" si="56"/>
        <v>103</v>
      </c>
      <c r="C105">
        <f t="shared" si="61"/>
        <v>1509</v>
      </c>
      <c r="D105" s="6">
        <f t="shared" si="62"/>
        <v>69</v>
      </c>
      <c r="E105">
        <f t="shared" si="58"/>
        <v>34</v>
      </c>
      <c r="F105">
        <f t="shared" si="59"/>
        <v>18</v>
      </c>
      <c r="H105">
        <f>VLOOKUP(D105+1,nc,5,TRUE)</f>
        <v>17</v>
      </c>
      <c r="I105">
        <f>VLOOKUP(E105,nc,5,TRUE)</f>
        <v>14</v>
      </c>
      <c r="K105">
        <f t="shared" si="63"/>
        <v>69</v>
      </c>
      <c r="L105">
        <f>VLOOKUP(K105,nc,2,FALSE)</f>
        <v>923</v>
      </c>
      <c r="M105">
        <f t="shared" si="64"/>
        <v>34</v>
      </c>
      <c r="N105">
        <f>VLOOKUP(M105,nc,2,FALSE)</f>
        <v>381</v>
      </c>
      <c r="O105">
        <f t="shared" si="65"/>
        <v>1509</v>
      </c>
      <c r="Q105">
        <f t="shared" si="66"/>
        <v>70</v>
      </c>
      <c r="R105">
        <f>VLOOKUP(Q105,nc,2,FALSE)</f>
        <v>940</v>
      </c>
      <c r="S105">
        <f t="shared" si="67"/>
        <v>33</v>
      </c>
      <c r="T105">
        <f>VLOOKUP(S105,nc,2,FALSE)</f>
        <v>367</v>
      </c>
      <c r="U105">
        <f t="shared" si="68"/>
        <v>1509</v>
      </c>
      <c r="W105">
        <f t="shared" si="69"/>
        <v>14</v>
      </c>
      <c r="X105">
        <f t="shared" si="70"/>
        <v>14</v>
      </c>
      <c r="AE105" s="1">
        <f>AM104</f>
        <v>1659978</v>
      </c>
      <c r="AF105" t="s">
        <v>3</v>
      </c>
      <c r="AG105">
        <f>AG104+1</f>
        <v>1088590</v>
      </c>
      <c r="AH105">
        <f>AE105-AG105</f>
        <v>571388</v>
      </c>
      <c r="AO105">
        <f>INDEX($AU$22:$AU104,MATCH(AH105+1,$AT$22:$AT104,1))</f>
        <v>45</v>
      </c>
      <c r="AP105">
        <f t="shared" si="105"/>
        <v>48</v>
      </c>
      <c r="AQ105">
        <f>INDEX($AT$22:$AT104,MATCH(AP105,$AU$22:$AU104,1))</f>
        <v>1502556</v>
      </c>
      <c r="AR105">
        <f t="shared" ref="AR105" si="110">AQ105+AH105</f>
        <v>2073944</v>
      </c>
      <c r="AT105">
        <f>AT104</f>
        <v>1502556</v>
      </c>
      <c r="AU105">
        <f>AU104</f>
        <v>48</v>
      </c>
      <c r="AV105" s="1">
        <f>(AE105-AE104-1)*AU104+AU105+AV104</f>
        <v>74225183</v>
      </c>
    </row>
    <row r="106" spans="2:48" x14ac:dyDescent="0.25">
      <c r="B106">
        <f t="shared" si="56"/>
        <v>104</v>
      </c>
      <c r="C106">
        <f t="shared" si="61"/>
        <v>1527</v>
      </c>
      <c r="D106" s="6">
        <f t="shared" si="62"/>
        <v>69</v>
      </c>
      <c r="E106">
        <f t="shared" si="58"/>
        <v>35</v>
      </c>
      <c r="F106">
        <f t="shared" si="59"/>
        <v>18</v>
      </c>
      <c r="H106">
        <f>VLOOKUP(D106+1,nc,5,TRUE)</f>
        <v>17</v>
      </c>
      <c r="I106">
        <f>VLOOKUP(E106,nc,5,TRUE)</f>
        <v>14</v>
      </c>
      <c r="K106">
        <f t="shared" si="63"/>
        <v>69</v>
      </c>
      <c r="L106">
        <f>VLOOKUP(K106,nc,2,FALSE)</f>
        <v>923</v>
      </c>
      <c r="M106">
        <f t="shared" si="64"/>
        <v>35</v>
      </c>
      <c r="N106">
        <f>VLOOKUP(M106,nc,2,FALSE)</f>
        <v>395</v>
      </c>
      <c r="O106">
        <f t="shared" si="65"/>
        <v>1527</v>
      </c>
      <c r="Q106">
        <f t="shared" si="66"/>
        <v>70</v>
      </c>
      <c r="R106">
        <f>VLOOKUP(Q106,nc,2,FALSE)</f>
        <v>940</v>
      </c>
      <c r="S106">
        <f t="shared" si="67"/>
        <v>34</v>
      </c>
      <c r="T106">
        <f>VLOOKUP(S106,nc,2,FALSE)</f>
        <v>381</v>
      </c>
      <c r="U106">
        <f t="shared" si="68"/>
        <v>1527</v>
      </c>
      <c r="W106">
        <f t="shared" si="69"/>
        <v>14</v>
      </c>
      <c r="X106">
        <f t="shared" si="70"/>
        <v>14</v>
      </c>
      <c r="AE106" s="1">
        <f>AR105</f>
        <v>2073944</v>
      </c>
      <c r="AF106" t="s">
        <v>2</v>
      </c>
      <c r="AG106">
        <f>AE106-AH106</f>
        <v>1502555</v>
      </c>
      <c r="AH106">
        <f>AH105+1</f>
        <v>571389</v>
      </c>
      <c r="AJ106">
        <f>INDEX($AU$22:$AU105,MATCH(AG106+1,$AT$22:$AT105,1))</f>
        <v>48</v>
      </c>
      <c r="AK106">
        <f t="shared" si="103"/>
        <v>46</v>
      </c>
      <c r="AL106">
        <f>INDEX($AT$22:$AT105,MATCH(AK106,$AU$22:$AU105,1))</f>
        <v>788675</v>
      </c>
      <c r="AM106">
        <f t="shared" ref="AM106" si="111">AG106+AL106</f>
        <v>2291230</v>
      </c>
      <c r="AT106">
        <f>AE106</f>
        <v>2073944</v>
      </c>
      <c r="AU106">
        <f>AU105+1</f>
        <v>49</v>
      </c>
      <c r="AV106" s="1">
        <f>(AE106-AE105-1)*AU105+AU106+AV105</f>
        <v>94095552</v>
      </c>
    </row>
    <row r="107" spans="2:48" x14ac:dyDescent="0.25">
      <c r="B107">
        <f t="shared" si="56"/>
        <v>105</v>
      </c>
      <c r="C107">
        <f t="shared" si="61"/>
        <v>1545</v>
      </c>
      <c r="D107" s="6">
        <f t="shared" si="62"/>
        <v>69</v>
      </c>
      <c r="E107">
        <f t="shared" si="58"/>
        <v>36</v>
      </c>
      <c r="F107">
        <f t="shared" si="59"/>
        <v>18</v>
      </c>
      <c r="H107">
        <f>VLOOKUP(D107+1,nc,5,TRUE)</f>
        <v>17</v>
      </c>
      <c r="I107">
        <f>VLOOKUP(E107,nc,5,TRUE)</f>
        <v>14</v>
      </c>
      <c r="K107">
        <f t="shared" si="63"/>
        <v>69</v>
      </c>
      <c r="L107">
        <f>VLOOKUP(K107,nc,2,FALSE)</f>
        <v>923</v>
      </c>
      <c r="M107">
        <f t="shared" si="64"/>
        <v>36</v>
      </c>
      <c r="N107">
        <f>VLOOKUP(M107,nc,2,FALSE)</f>
        <v>409</v>
      </c>
      <c r="O107">
        <f t="shared" si="65"/>
        <v>1545</v>
      </c>
      <c r="Q107">
        <f t="shared" si="66"/>
        <v>70</v>
      </c>
      <c r="R107">
        <f>VLOOKUP(Q107,nc,2,FALSE)</f>
        <v>940</v>
      </c>
      <c r="S107">
        <f t="shared" si="67"/>
        <v>35</v>
      </c>
      <c r="T107">
        <f>VLOOKUP(S107,nc,2,FALSE)</f>
        <v>395</v>
      </c>
      <c r="U107">
        <f t="shared" si="68"/>
        <v>1545</v>
      </c>
      <c r="W107">
        <f t="shared" si="69"/>
        <v>14</v>
      </c>
      <c r="X107">
        <f t="shared" si="70"/>
        <v>14</v>
      </c>
      <c r="AE107" s="1">
        <f>AM106</f>
        <v>2291230</v>
      </c>
      <c r="AF107" t="s">
        <v>3</v>
      </c>
      <c r="AG107">
        <f>AG106+1</f>
        <v>1502556</v>
      </c>
      <c r="AH107">
        <f>AE107-AG107</f>
        <v>788674</v>
      </c>
      <c r="AO107">
        <f>INDEX($AU$22:$AU106,MATCH(AH107+1,$AT$22:$AT106,1))</f>
        <v>46</v>
      </c>
      <c r="AP107">
        <f t="shared" si="105"/>
        <v>49</v>
      </c>
      <c r="AQ107">
        <f>INDEX($AT$22:$AT106,MATCH(AP107,$AU$22:$AU106,1))</f>
        <v>2073944</v>
      </c>
      <c r="AR107">
        <f t="shared" ref="AR107" si="112">AQ107+AH107</f>
        <v>2862618</v>
      </c>
      <c r="AT107">
        <f>AT106</f>
        <v>2073944</v>
      </c>
      <c r="AU107">
        <f>AU106</f>
        <v>49</v>
      </c>
      <c r="AV107" s="1">
        <f>(AE107-AE106-1)*AU106+AU107+AV106</f>
        <v>104742566</v>
      </c>
    </row>
    <row r="108" spans="2:48" x14ac:dyDescent="0.25">
      <c r="B108" s="6">
        <f t="shared" si="56"/>
        <v>106</v>
      </c>
      <c r="C108" s="6">
        <f t="shared" si="61"/>
        <v>1563</v>
      </c>
      <c r="D108" s="6">
        <f t="shared" si="62"/>
        <v>70</v>
      </c>
      <c r="E108" s="6">
        <f t="shared" si="58"/>
        <v>36</v>
      </c>
      <c r="F108" s="6">
        <f t="shared" si="59"/>
        <v>18</v>
      </c>
      <c r="G108" s="6"/>
      <c r="H108" s="6">
        <f>VLOOKUP(D108+1,nc,5,TRUE)</f>
        <v>17</v>
      </c>
      <c r="I108" s="6">
        <f>VLOOKUP(E108,nc,5,TRUE)</f>
        <v>14</v>
      </c>
      <c r="J108" s="6"/>
      <c r="K108" s="6">
        <f t="shared" si="63"/>
        <v>69</v>
      </c>
      <c r="L108" s="6">
        <f>VLOOKUP(K108,nc,2,FALSE)</f>
        <v>923</v>
      </c>
      <c r="M108" s="6">
        <f t="shared" si="64"/>
        <v>37</v>
      </c>
      <c r="N108" s="6">
        <f>VLOOKUP(M108,nc,2,FALSE)</f>
        <v>424</v>
      </c>
      <c r="O108" s="6">
        <f t="shared" si="65"/>
        <v>1564</v>
      </c>
      <c r="P108" s="6"/>
      <c r="Q108" s="6">
        <f t="shared" si="66"/>
        <v>70</v>
      </c>
      <c r="R108" s="6">
        <f>VLOOKUP(Q108,nc,2,FALSE)</f>
        <v>940</v>
      </c>
      <c r="S108" s="6">
        <f t="shared" si="67"/>
        <v>36</v>
      </c>
      <c r="T108" s="6">
        <f>VLOOKUP(S108,nc,2,FALSE)</f>
        <v>409</v>
      </c>
      <c r="U108" s="6">
        <f t="shared" si="68"/>
        <v>1563</v>
      </c>
      <c r="V108" s="6"/>
      <c r="W108" s="6">
        <f t="shared" si="69"/>
        <v>15</v>
      </c>
      <c r="X108" s="6">
        <f t="shared" si="70"/>
        <v>14</v>
      </c>
      <c r="AE108" s="1">
        <f>AR107</f>
        <v>2862618</v>
      </c>
      <c r="AF108" t="s">
        <v>2</v>
      </c>
      <c r="AG108">
        <f>AE108-AH108</f>
        <v>2073943</v>
      </c>
      <c r="AH108">
        <f>AH107+1</f>
        <v>788675</v>
      </c>
      <c r="AJ108">
        <f>INDEX($AU$22:$AU107,MATCH(AG108+1,$AT$22:$AT107,1))</f>
        <v>49</v>
      </c>
      <c r="AK108">
        <f t="shared" si="103"/>
        <v>47</v>
      </c>
      <c r="AL108">
        <f>INDEX($AT$22:$AT107,MATCH(AK108,$AU$22:$AU107,1))</f>
        <v>1088590</v>
      </c>
      <c r="AM108">
        <f t="shared" ref="AM108" si="113">AG108+AL108</f>
        <v>3162533</v>
      </c>
      <c r="AT108">
        <f>AE108</f>
        <v>2862618</v>
      </c>
      <c r="AU108">
        <f>AU107+1</f>
        <v>50</v>
      </c>
      <c r="AV108" s="1">
        <f>(AE108-AE107-1)*AU107+AU108+AV107</f>
        <v>132740579</v>
      </c>
    </row>
    <row r="109" spans="2:48" x14ac:dyDescent="0.25">
      <c r="B109">
        <f t="shared" si="56"/>
        <v>107</v>
      </c>
      <c r="C109">
        <f t="shared" si="61"/>
        <v>1581</v>
      </c>
      <c r="D109">
        <f t="shared" si="62"/>
        <v>71</v>
      </c>
      <c r="E109" s="6">
        <f t="shared" si="58"/>
        <v>36</v>
      </c>
      <c r="F109">
        <f t="shared" si="59"/>
        <v>18</v>
      </c>
      <c r="H109">
        <f>VLOOKUP(D109+1,nc,5,TRUE)</f>
        <v>17</v>
      </c>
      <c r="I109">
        <f>VLOOKUP(E109,nc,5,TRUE)</f>
        <v>14</v>
      </c>
      <c r="K109">
        <f t="shared" si="63"/>
        <v>70</v>
      </c>
      <c r="L109">
        <f>VLOOKUP(K109,nc,2,FALSE)</f>
        <v>940</v>
      </c>
      <c r="M109">
        <f t="shared" si="64"/>
        <v>37</v>
      </c>
      <c r="N109">
        <f>VLOOKUP(M109,nc,2,FALSE)</f>
        <v>424</v>
      </c>
      <c r="O109">
        <f t="shared" si="65"/>
        <v>1582</v>
      </c>
      <c r="Q109">
        <f t="shared" si="66"/>
        <v>71</v>
      </c>
      <c r="R109">
        <f>VLOOKUP(Q109,nc,2,FALSE)</f>
        <v>957</v>
      </c>
      <c r="S109">
        <f t="shared" si="67"/>
        <v>36</v>
      </c>
      <c r="T109">
        <f>VLOOKUP(S109,nc,2,FALSE)</f>
        <v>409</v>
      </c>
      <c r="U109">
        <f t="shared" si="68"/>
        <v>1581</v>
      </c>
      <c r="W109">
        <f t="shared" si="69"/>
        <v>15</v>
      </c>
      <c r="X109">
        <f t="shared" si="70"/>
        <v>14</v>
      </c>
      <c r="AE109" s="1">
        <f>AM108</f>
        <v>3162533</v>
      </c>
      <c r="AF109" t="s">
        <v>3</v>
      </c>
      <c r="AG109">
        <f>AG108+1</f>
        <v>2073944</v>
      </c>
      <c r="AH109">
        <f>AE109-AG109</f>
        <v>1088589</v>
      </c>
      <c r="AO109">
        <f>INDEX($AU$22:$AU108,MATCH(AH109+1,$AT$22:$AT108,1))</f>
        <v>47</v>
      </c>
      <c r="AP109">
        <f t="shared" si="105"/>
        <v>50</v>
      </c>
      <c r="AQ109">
        <f>INDEX($AT$22:$AT108,MATCH(AP109,$AU$22:$AU108,1))</f>
        <v>2862618</v>
      </c>
      <c r="AR109">
        <f t="shared" ref="AR109" si="114">AQ109+AH109</f>
        <v>3951207</v>
      </c>
      <c r="AT109">
        <f>AT108</f>
        <v>2862618</v>
      </c>
      <c r="AU109">
        <f>AU108</f>
        <v>50</v>
      </c>
      <c r="AV109" s="1">
        <f>(AE109-AE108-1)*AU108+AU109+AV108</f>
        <v>147736329</v>
      </c>
    </row>
    <row r="110" spans="2:48" x14ac:dyDescent="0.25">
      <c r="B110">
        <f t="shared" si="56"/>
        <v>108</v>
      </c>
      <c r="C110">
        <f t="shared" si="61"/>
        <v>1599</v>
      </c>
      <c r="D110">
        <f t="shared" si="62"/>
        <v>72</v>
      </c>
      <c r="E110" s="6">
        <f t="shared" si="58"/>
        <v>36</v>
      </c>
      <c r="F110">
        <f t="shared" si="59"/>
        <v>18</v>
      </c>
      <c r="H110">
        <f>VLOOKUP(D110+1,nc,5,TRUE)</f>
        <v>17</v>
      </c>
      <c r="I110">
        <f>VLOOKUP(E110,nc,5,TRUE)</f>
        <v>14</v>
      </c>
      <c r="K110">
        <f t="shared" si="63"/>
        <v>71</v>
      </c>
      <c r="L110">
        <f>VLOOKUP(K110,nc,2,FALSE)</f>
        <v>957</v>
      </c>
      <c r="M110">
        <f t="shared" si="64"/>
        <v>37</v>
      </c>
      <c r="N110">
        <f>VLOOKUP(M110,nc,2,FALSE)</f>
        <v>424</v>
      </c>
      <c r="O110">
        <f t="shared" si="65"/>
        <v>1600</v>
      </c>
      <c r="Q110">
        <f t="shared" si="66"/>
        <v>72</v>
      </c>
      <c r="R110">
        <f>VLOOKUP(Q110,nc,2,FALSE)</f>
        <v>974</v>
      </c>
      <c r="S110">
        <f t="shared" si="67"/>
        <v>36</v>
      </c>
      <c r="T110">
        <f>VLOOKUP(S110,nc,2,FALSE)</f>
        <v>409</v>
      </c>
      <c r="U110">
        <f t="shared" si="68"/>
        <v>1599</v>
      </c>
      <c r="W110">
        <f t="shared" si="69"/>
        <v>15</v>
      </c>
      <c r="X110">
        <f t="shared" si="70"/>
        <v>14</v>
      </c>
      <c r="AE110" s="1">
        <f>AR109</f>
        <v>3951207</v>
      </c>
      <c r="AF110" t="s">
        <v>2</v>
      </c>
      <c r="AG110">
        <f>AE110-AH110</f>
        <v>2862617</v>
      </c>
      <c r="AH110">
        <f>AH109+1</f>
        <v>1088590</v>
      </c>
      <c r="AJ110">
        <f>INDEX($AU$22:$AU109,MATCH(AG110+1,$AT$22:$AT109,1))</f>
        <v>50</v>
      </c>
      <c r="AK110">
        <f t="shared" si="103"/>
        <v>48</v>
      </c>
      <c r="AL110">
        <f>INDEX($AT$22:$AT109,MATCH(AK110,$AU$22:$AU109,1))</f>
        <v>1502556</v>
      </c>
      <c r="AM110">
        <f t="shared" ref="AM110" si="115">AG110+AL110</f>
        <v>4365173</v>
      </c>
      <c r="AT110">
        <f>AE110</f>
        <v>3951207</v>
      </c>
      <c r="AU110">
        <f>AU109+1</f>
        <v>51</v>
      </c>
      <c r="AV110" s="1">
        <f>(AE110-AE109-1)*AU109+AU110+AV109</f>
        <v>187170030</v>
      </c>
    </row>
    <row r="111" spans="2:48" x14ac:dyDescent="0.25">
      <c r="B111">
        <f t="shared" si="56"/>
        <v>109</v>
      </c>
      <c r="C111">
        <f t="shared" si="61"/>
        <v>1617</v>
      </c>
      <c r="D111">
        <f t="shared" si="62"/>
        <v>73</v>
      </c>
      <c r="E111" s="6">
        <f t="shared" si="58"/>
        <v>36</v>
      </c>
      <c r="F111">
        <f t="shared" si="59"/>
        <v>18</v>
      </c>
      <c r="H111">
        <f>VLOOKUP(D111+1,nc,5,TRUE)</f>
        <v>17</v>
      </c>
      <c r="I111">
        <f>VLOOKUP(E111,nc,5,TRUE)</f>
        <v>14</v>
      </c>
      <c r="K111">
        <f t="shared" si="63"/>
        <v>72</v>
      </c>
      <c r="L111">
        <f>VLOOKUP(K111,nc,2,FALSE)</f>
        <v>974</v>
      </c>
      <c r="M111">
        <f t="shared" si="64"/>
        <v>37</v>
      </c>
      <c r="N111">
        <f>VLOOKUP(M111,nc,2,FALSE)</f>
        <v>424</v>
      </c>
      <c r="O111">
        <f t="shared" si="65"/>
        <v>1618</v>
      </c>
      <c r="Q111">
        <f t="shared" si="66"/>
        <v>73</v>
      </c>
      <c r="R111">
        <f>VLOOKUP(Q111,nc,2,FALSE)</f>
        <v>991</v>
      </c>
      <c r="S111">
        <f t="shared" si="67"/>
        <v>36</v>
      </c>
      <c r="T111">
        <f>VLOOKUP(S111,nc,2,FALSE)</f>
        <v>409</v>
      </c>
      <c r="U111">
        <f t="shared" si="68"/>
        <v>1617</v>
      </c>
      <c r="W111">
        <f t="shared" si="69"/>
        <v>15</v>
      </c>
      <c r="X111">
        <f t="shared" si="70"/>
        <v>14</v>
      </c>
      <c r="AE111" s="1">
        <f>AM110</f>
        <v>4365173</v>
      </c>
      <c r="AF111" t="s">
        <v>3</v>
      </c>
      <c r="AG111">
        <f>AG110+1</f>
        <v>2862618</v>
      </c>
      <c r="AH111">
        <f>AE111-AG111</f>
        <v>1502555</v>
      </c>
      <c r="AO111">
        <f>INDEX($AU$22:$AU110,MATCH(AH111+1,$AT$22:$AT110,1))</f>
        <v>48</v>
      </c>
      <c r="AP111">
        <f t="shared" si="105"/>
        <v>51</v>
      </c>
      <c r="AQ111">
        <f>INDEX($AT$22:$AT110,MATCH(AP111,$AU$22:$AU110,1))</f>
        <v>3951207</v>
      </c>
      <c r="AR111">
        <f t="shared" ref="AR111" si="116">AQ111+AH111</f>
        <v>5453762</v>
      </c>
      <c r="AT111">
        <f>AT110</f>
        <v>3951207</v>
      </c>
      <c r="AU111">
        <f>AU110</f>
        <v>51</v>
      </c>
      <c r="AV111" s="1">
        <f>(AE111-AE110-1)*AU110+AU111+AV110</f>
        <v>208282296</v>
      </c>
    </row>
    <row r="112" spans="2:48" x14ac:dyDescent="0.25">
      <c r="B112">
        <f t="shared" si="56"/>
        <v>110</v>
      </c>
      <c r="C112">
        <f t="shared" si="61"/>
        <v>1635</v>
      </c>
      <c r="D112">
        <f t="shared" si="62"/>
        <v>74</v>
      </c>
      <c r="E112" s="6">
        <f t="shared" si="58"/>
        <v>36</v>
      </c>
      <c r="F112">
        <f t="shared" si="59"/>
        <v>18</v>
      </c>
      <c r="H112">
        <f>VLOOKUP(D112+1,nc,5,TRUE)</f>
        <v>17</v>
      </c>
      <c r="I112">
        <f>VLOOKUP(E112,nc,5,TRUE)</f>
        <v>14</v>
      </c>
      <c r="K112">
        <f t="shared" si="63"/>
        <v>73</v>
      </c>
      <c r="L112">
        <f>VLOOKUP(K112,nc,2,FALSE)</f>
        <v>991</v>
      </c>
      <c r="M112">
        <f t="shared" si="64"/>
        <v>37</v>
      </c>
      <c r="N112">
        <f>VLOOKUP(M112,nc,2,FALSE)</f>
        <v>424</v>
      </c>
      <c r="O112">
        <f t="shared" si="65"/>
        <v>1636</v>
      </c>
      <c r="Q112">
        <f t="shared" si="66"/>
        <v>74</v>
      </c>
      <c r="R112">
        <f>VLOOKUP(Q112,nc,2,FALSE)</f>
        <v>1008</v>
      </c>
      <c r="S112">
        <f t="shared" si="67"/>
        <v>36</v>
      </c>
      <c r="T112">
        <f>VLOOKUP(S112,nc,2,FALSE)</f>
        <v>409</v>
      </c>
      <c r="U112">
        <f t="shared" si="68"/>
        <v>1635</v>
      </c>
      <c r="W112">
        <f t="shared" si="69"/>
        <v>15</v>
      </c>
      <c r="X112">
        <f t="shared" si="70"/>
        <v>14</v>
      </c>
      <c r="AE112" s="1">
        <f>AR111</f>
        <v>5453762</v>
      </c>
      <c r="AF112" t="s">
        <v>2</v>
      </c>
      <c r="AG112">
        <f>AE112-AH112</f>
        <v>3951206</v>
      </c>
      <c r="AH112">
        <f>AH111+1</f>
        <v>1502556</v>
      </c>
      <c r="AJ112">
        <f>INDEX($AU$22:$AU111,MATCH(AG112+1,$AT$22:$AT111,1))</f>
        <v>51</v>
      </c>
      <c r="AK112">
        <f t="shared" ref="AK112:AK122" si="117">AJ112-2</f>
        <v>49</v>
      </c>
      <c r="AL112">
        <f>INDEX($AT$22:$AT111,MATCH(AK112,$AU$22:$AU111,1))</f>
        <v>2073944</v>
      </c>
      <c r="AM112">
        <f t="shared" ref="AM112" si="118">AG112+AL112</f>
        <v>6025150</v>
      </c>
      <c r="AT112">
        <f>AE112</f>
        <v>5453762</v>
      </c>
      <c r="AU112">
        <f>AU111+1</f>
        <v>52</v>
      </c>
      <c r="AV112" s="1">
        <f>(AE112-AE111-1)*AU111+AU112+AV111</f>
        <v>263800336</v>
      </c>
    </row>
    <row r="113" spans="2:48" x14ac:dyDescent="0.25">
      <c r="B113">
        <f t="shared" si="56"/>
        <v>111</v>
      </c>
      <c r="C113">
        <f t="shared" si="61"/>
        <v>1653</v>
      </c>
      <c r="D113">
        <f t="shared" si="62"/>
        <v>75</v>
      </c>
      <c r="E113" s="6">
        <f t="shared" si="58"/>
        <v>36</v>
      </c>
      <c r="F113">
        <f t="shared" si="59"/>
        <v>18</v>
      </c>
      <c r="H113">
        <f>VLOOKUP(D113+1,nc,5,TRUE)</f>
        <v>17</v>
      </c>
      <c r="I113">
        <f>VLOOKUP(E113,nc,5,TRUE)</f>
        <v>14</v>
      </c>
      <c r="K113">
        <f t="shared" si="63"/>
        <v>74</v>
      </c>
      <c r="L113">
        <f>VLOOKUP(K113,nc,2,FALSE)</f>
        <v>1008</v>
      </c>
      <c r="M113">
        <f t="shared" si="64"/>
        <v>37</v>
      </c>
      <c r="N113">
        <f>VLOOKUP(M113,nc,2,FALSE)</f>
        <v>424</v>
      </c>
      <c r="O113">
        <f t="shared" si="65"/>
        <v>1654</v>
      </c>
      <c r="Q113">
        <f t="shared" si="66"/>
        <v>75</v>
      </c>
      <c r="R113">
        <f>VLOOKUP(Q113,nc,2,FALSE)</f>
        <v>1025</v>
      </c>
      <c r="S113">
        <f t="shared" si="67"/>
        <v>36</v>
      </c>
      <c r="T113">
        <f>VLOOKUP(S113,nc,2,FALSE)</f>
        <v>409</v>
      </c>
      <c r="U113">
        <f t="shared" si="68"/>
        <v>1653</v>
      </c>
      <c r="W113">
        <f t="shared" si="69"/>
        <v>15</v>
      </c>
      <c r="X113">
        <f t="shared" si="70"/>
        <v>14</v>
      </c>
      <c r="AE113" s="1">
        <f>AM112</f>
        <v>6025150</v>
      </c>
      <c r="AF113" t="s">
        <v>3</v>
      </c>
      <c r="AG113">
        <f>AG112+1</f>
        <v>3951207</v>
      </c>
      <c r="AH113">
        <f>AE113-AG113</f>
        <v>2073943</v>
      </c>
      <c r="AO113">
        <f>INDEX($AU$22:$AU112,MATCH(AH113+1,$AT$22:$AT112,1))</f>
        <v>49</v>
      </c>
      <c r="AP113">
        <f t="shared" ref="AP113:AP123" si="119">AO113+3</f>
        <v>52</v>
      </c>
      <c r="AQ113">
        <f>INDEX($AT$22:$AT112,MATCH(AP113,$AU$22:$AU112,1))</f>
        <v>5453762</v>
      </c>
      <c r="AR113">
        <f t="shared" ref="AR113" si="120">AQ113+AH113</f>
        <v>7527705</v>
      </c>
      <c r="AT113">
        <f>AT112</f>
        <v>5453762</v>
      </c>
      <c r="AU113">
        <f>AU112</f>
        <v>52</v>
      </c>
      <c r="AV113" s="1">
        <f>(AE113-AE112-1)*AU112+AU113+AV112</f>
        <v>293512512</v>
      </c>
    </row>
    <row r="114" spans="2:48" x14ac:dyDescent="0.25">
      <c r="B114">
        <f t="shared" si="56"/>
        <v>112</v>
      </c>
      <c r="C114">
        <f t="shared" si="61"/>
        <v>1671</v>
      </c>
      <c r="D114">
        <f t="shared" si="62"/>
        <v>76</v>
      </c>
      <c r="E114" s="6">
        <f t="shared" si="58"/>
        <v>36</v>
      </c>
      <c r="F114">
        <f t="shared" si="59"/>
        <v>18</v>
      </c>
      <c r="H114">
        <f>VLOOKUP(D114+1,nc,5,TRUE)</f>
        <v>17</v>
      </c>
      <c r="I114">
        <f>VLOOKUP(E114,nc,5,TRUE)</f>
        <v>14</v>
      </c>
      <c r="K114">
        <f t="shared" si="63"/>
        <v>75</v>
      </c>
      <c r="L114">
        <f>VLOOKUP(K114,nc,2,FALSE)</f>
        <v>1025</v>
      </c>
      <c r="M114">
        <f t="shared" si="64"/>
        <v>37</v>
      </c>
      <c r="N114">
        <f>VLOOKUP(M114,nc,2,FALSE)</f>
        <v>424</v>
      </c>
      <c r="O114">
        <f t="shared" si="65"/>
        <v>1672</v>
      </c>
      <c r="Q114">
        <f t="shared" si="66"/>
        <v>76</v>
      </c>
      <c r="R114">
        <f>VLOOKUP(Q114,nc,2,FALSE)</f>
        <v>1042</v>
      </c>
      <c r="S114">
        <f t="shared" si="67"/>
        <v>36</v>
      </c>
      <c r="T114">
        <f>VLOOKUP(S114,nc,2,FALSE)</f>
        <v>409</v>
      </c>
      <c r="U114">
        <f t="shared" si="68"/>
        <v>1671</v>
      </c>
      <c r="W114">
        <f t="shared" si="69"/>
        <v>15</v>
      </c>
      <c r="X114">
        <f t="shared" si="70"/>
        <v>14</v>
      </c>
      <c r="AE114" s="1">
        <f>AR113</f>
        <v>7527705</v>
      </c>
      <c r="AF114" t="s">
        <v>2</v>
      </c>
      <c r="AG114">
        <f>AE114-AH114</f>
        <v>5453761</v>
      </c>
      <c r="AH114">
        <f>AH113+1</f>
        <v>2073944</v>
      </c>
      <c r="AJ114">
        <f>INDEX($AU$22:$AU113,MATCH(AG114+1,$AT$22:$AT113,1))</f>
        <v>52</v>
      </c>
      <c r="AK114">
        <f t="shared" si="117"/>
        <v>50</v>
      </c>
      <c r="AL114">
        <f>INDEX($AT$22:$AT113,MATCH(AK114,$AU$22:$AU113,1))</f>
        <v>2862618</v>
      </c>
      <c r="AM114">
        <f t="shared" ref="AM114" si="121">AG114+AL114</f>
        <v>8316379</v>
      </c>
      <c r="AT114">
        <f>AE114</f>
        <v>7527705</v>
      </c>
      <c r="AU114">
        <f>AU113+1</f>
        <v>53</v>
      </c>
      <c r="AV114" s="1">
        <f>(AE114-AE113-1)*AU113+AU114+AV113</f>
        <v>371645373</v>
      </c>
    </row>
    <row r="115" spans="2:48" x14ac:dyDescent="0.25">
      <c r="B115">
        <f t="shared" si="56"/>
        <v>113</v>
      </c>
      <c r="C115">
        <f t="shared" si="61"/>
        <v>1689</v>
      </c>
      <c r="D115">
        <f t="shared" si="62"/>
        <v>77</v>
      </c>
      <c r="E115" s="6">
        <f t="shared" si="58"/>
        <v>36</v>
      </c>
      <c r="F115">
        <f t="shared" si="59"/>
        <v>18</v>
      </c>
      <c r="H115">
        <f>VLOOKUP(D115+1,nc,5,TRUE)</f>
        <v>17</v>
      </c>
      <c r="I115">
        <f>VLOOKUP(E115,nc,5,TRUE)</f>
        <v>14</v>
      </c>
      <c r="K115">
        <f t="shared" si="63"/>
        <v>76</v>
      </c>
      <c r="L115">
        <f>VLOOKUP(K115,nc,2,FALSE)</f>
        <v>1042</v>
      </c>
      <c r="M115">
        <f t="shared" si="64"/>
        <v>37</v>
      </c>
      <c r="N115">
        <f>VLOOKUP(M115,nc,2,FALSE)</f>
        <v>424</v>
      </c>
      <c r="O115">
        <f t="shared" si="65"/>
        <v>1690</v>
      </c>
      <c r="Q115">
        <f t="shared" si="66"/>
        <v>77</v>
      </c>
      <c r="R115">
        <f>VLOOKUP(Q115,nc,2,FALSE)</f>
        <v>1059</v>
      </c>
      <c r="S115">
        <f t="shared" si="67"/>
        <v>36</v>
      </c>
      <c r="T115">
        <f>VLOOKUP(S115,nc,2,FALSE)</f>
        <v>409</v>
      </c>
      <c r="U115">
        <f t="shared" si="68"/>
        <v>1689</v>
      </c>
      <c r="W115">
        <f t="shared" si="69"/>
        <v>15</v>
      </c>
      <c r="X115">
        <f t="shared" si="70"/>
        <v>14</v>
      </c>
      <c r="AE115" s="1">
        <f>AM114</f>
        <v>8316379</v>
      </c>
      <c r="AF115" t="s">
        <v>3</v>
      </c>
      <c r="AG115">
        <f>AG114+1</f>
        <v>5453762</v>
      </c>
      <c r="AH115">
        <f>AE115-AG115</f>
        <v>2862617</v>
      </c>
      <c r="AO115">
        <f>INDEX($AU$22:$AU114,MATCH(AH115+1,$AT$22:$AT114,1))</f>
        <v>50</v>
      </c>
      <c r="AP115">
        <f t="shared" si="119"/>
        <v>53</v>
      </c>
      <c r="AQ115">
        <f>INDEX($AT$22:$AT114,MATCH(AP115,$AU$22:$AU114,1))</f>
        <v>7527705</v>
      </c>
      <c r="AR115">
        <f t="shared" ref="AR115" si="122">AQ115+AH115</f>
        <v>10390322</v>
      </c>
      <c r="AT115">
        <f>AT114</f>
        <v>7527705</v>
      </c>
      <c r="AU115">
        <f>AU114</f>
        <v>53</v>
      </c>
      <c r="AV115" s="1">
        <f>(AE115-AE114-1)*AU114+AU115+AV114</f>
        <v>413445095</v>
      </c>
    </row>
    <row r="116" spans="2:48" x14ac:dyDescent="0.25">
      <c r="B116">
        <f t="shared" si="56"/>
        <v>114</v>
      </c>
      <c r="C116">
        <f t="shared" si="61"/>
        <v>1707</v>
      </c>
      <c r="D116">
        <f t="shared" si="62"/>
        <v>78</v>
      </c>
      <c r="E116" s="6">
        <f t="shared" si="58"/>
        <v>36</v>
      </c>
      <c r="F116">
        <f t="shared" si="59"/>
        <v>18</v>
      </c>
      <c r="H116">
        <f>VLOOKUP(D116+1,nc,5,TRUE)</f>
        <v>17</v>
      </c>
      <c r="I116">
        <f>VLOOKUP(E116,nc,5,TRUE)</f>
        <v>14</v>
      </c>
      <c r="K116">
        <f t="shared" si="63"/>
        <v>77</v>
      </c>
      <c r="L116">
        <f>VLOOKUP(K116,nc,2,FALSE)</f>
        <v>1059</v>
      </c>
      <c r="M116">
        <f t="shared" si="64"/>
        <v>37</v>
      </c>
      <c r="N116">
        <f>VLOOKUP(M116,nc,2,FALSE)</f>
        <v>424</v>
      </c>
      <c r="O116">
        <f t="shared" si="65"/>
        <v>1708</v>
      </c>
      <c r="Q116">
        <f t="shared" si="66"/>
        <v>78</v>
      </c>
      <c r="R116">
        <f>VLOOKUP(Q116,nc,2,FALSE)</f>
        <v>1076</v>
      </c>
      <c r="S116">
        <f t="shared" si="67"/>
        <v>36</v>
      </c>
      <c r="T116">
        <f>VLOOKUP(S116,nc,2,FALSE)</f>
        <v>409</v>
      </c>
      <c r="U116">
        <f t="shared" si="68"/>
        <v>1707</v>
      </c>
      <c r="W116">
        <f t="shared" si="69"/>
        <v>15</v>
      </c>
      <c r="X116">
        <f t="shared" si="70"/>
        <v>14</v>
      </c>
      <c r="AE116" s="1">
        <f>AR115</f>
        <v>10390322</v>
      </c>
      <c r="AF116" t="s">
        <v>2</v>
      </c>
      <c r="AG116">
        <f>AE116-AH116</f>
        <v>7527704</v>
      </c>
      <c r="AH116">
        <f>AH115+1</f>
        <v>2862618</v>
      </c>
      <c r="AJ116">
        <f>INDEX($AU$22:$AU115,MATCH(AG116+1,$AT$22:$AT115,1))</f>
        <v>53</v>
      </c>
      <c r="AK116">
        <f t="shared" si="117"/>
        <v>51</v>
      </c>
      <c r="AL116">
        <f>INDEX($AT$22:$AT115,MATCH(AK116,$AU$22:$AU115,1))</f>
        <v>3951207</v>
      </c>
      <c r="AM116">
        <f t="shared" ref="AM116" si="123">AG116+AL116</f>
        <v>11478911</v>
      </c>
      <c r="AT116">
        <f>AE116</f>
        <v>10390322</v>
      </c>
      <c r="AU116">
        <f>AU115+1</f>
        <v>54</v>
      </c>
      <c r="AV116" s="1">
        <f>(AE116-AE115-1)*AU115+AU116+AV115</f>
        <v>523364075</v>
      </c>
    </row>
    <row r="117" spans="2:48" x14ac:dyDescent="0.25">
      <c r="B117">
        <f t="shared" si="56"/>
        <v>115</v>
      </c>
      <c r="C117">
        <f t="shared" si="61"/>
        <v>1725</v>
      </c>
      <c r="D117">
        <f t="shared" si="62"/>
        <v>79</v>
      </c>
      <c r="E117" s="6">
        <f t="shared" si="58"/>
        <v>36</v>
      </c>
      <c r="F117">
        <f t="shared" si="59"/>
        <v>18</v>
      </c>
      <c r="H117">
        <f>VLOOKUP(D117+1,nc,5,TRUE)</f>
        <v>17</v>
      </c>
      <c r="I117">
        <f>VLOOKUP(E117,nc,5,TRUE)</f>
        <v>14</v>
      </c>
      <c r="K117">
        <f t="shared" si="63"/>
        <v>78</v>
      </c>
      <c r="L117">
        <f>VLOOKUP(K117,nc,2,FALSE)</f>
        <v>1076</v>
      </c>
      <c r="M117">
        <f t="shared" si="64"/>
        <v>37</v>
      </c>
      <c r="N117">
        <f>VLOOKUP(M117,nc,2,FALSE)</f>
        <v>424</v>
      </c>
      <c r="O117">
        <f t="shared" si="65"/>
        <v>1726</v>
      </c>
      <c r="Q117">
        <f t="shared" si="66"/>
        <v>79</v>
      </c>
      <c r="R117">
        <f>VLOOKUP(Q117,nc,2,FALSE)</f>
        <v>1093</v>
      </c>
      <c r="S117">
        <f t="shared" si="67"/>
        <v>36</v>
      </c>
      <c r="T117">
        <f>VLOOKUP(S117,nc,2,FALSE)</f>
        <v>409</v>
      </c>
      <c r="U117">
        <f t="shared" si="68"/>
        <v>1725</v>
      </c>
      <c r="W117">
        <f t="shared" si="69"/>
        <v>15</v>
      </c>
      <c r="X117">
        <f t="shared" si="70"/>
        <v>14</v>
      </c>
      <c r="AE117" s="1">
        <f>AM116</f>
        <v>11478911</v>
      </c>
      <c r="AF117" t="s">
        <v>3</v>
      </c>
      <c r="AG117">
        <f>AG116+1</f>
        <v>7527705</v>
      </c>
      <c r="AH117">
        <f>AE117-AG117</f>
        <v>3951206</v>
      </c>
      <c r="AO117">
        <f>INDEX($AU$22:$AU116,MATCH(AH117+1,$AT$22:$AT116,1))</f>
        <v>51</v>
      </c>
      <c r="AP117">
        <f t="shared" si="119"/>
        <v>54</v>
      </c>
      <c r="AQ117">
        <f>INDEX($AT$22:$AT116,MATCH(AP117,$AU$22:$AU116,1))</f>
        <v>10390322</v>
      </c>
      <c r="AR117">
        <f t="shared" ref="AR117" si="124">AQ117+AH117</f>
        <v>14341528</v>
      </c>
      <c r="AT117">
        <f>AT116</f>
        <v>10390322</v>
      </c>
      <c r="AU117">
        <f>AU116</f>
        <v>54</v>
      </c>
      <c r="AV117" s="1">
        <f>(AE117-AE116-1)*AU116+AU117+AV116</f>
        <v>582147881</v>
      </c>
    </row>
    <row r="118" spans="2:48" x14ac:dyDescent="0.25">
      <c r="B118">
        <f t="shared" si="56"/>
        <v>116</v>
      </c>
      <c r="C118">
        <f t="shared" si="61"/>
        <v>1743</v>
      </c>
      <c r="D118">
        <f t="shared" si="62"/>
        <v>80</v>
      </c>
      <c r="E118" s="6">
        <f t="shared" si="58"/>
        <v>36</v>
      </c>
      <c r="F118">
        <f t="shared" si="59"/>
        <v>18</v>
      </c>
      <c r="H118">
        <f>VLOOKUP(D118+1,nc,5,TRUE)</f>
        <v>17</v>
      </c>
      <c r="I118">
        <f>VLOOKUP(E118,nc,5,TRUE)</f>
        <v>14</v>
      </c>
      <c r="K118">
        <f t="shared" si="63"/>
        <v>79</v>
      </c>
      <c r="L118">
        <f>VLOOKUP(K118,nc,2,FALSE)</f>
        <v>1093</v>
      </c>
      <c r="M118">
        <f t="shared" si="64"/>
        <v>37</v>
      </c>
      <c r="N118">
        <f>VLOOKUP(M118,nc,2,FALSE)</f>
        <v>424</v>
      </c>
      <c r="O118">
        <f t="shared" si="65"/>
        <v>1744</v>
      </c>
      <c r="Q118">
        <f t="shared" si="66"/>
        <v>80</v>
      </c>
      <c r="R118">
        <f>VLOOKUP(Q118,nc,2,FALSE)</f>
        <v>1110</v>
      </c>
      <c r="S118">
        <f t="shared" si="67"/>
        <v>36</v>
      </c>
      <c r="T118">
        <f>VLOOKUP(S118,nc,2,FALSE)</f>
        <v>409</v>
      </c>
      <c r="U118">
        <f t="shared" si="68"/>
        <v>1743</v>
      </c>
      <c r="W118">
        <f t="shared" si="69"/>
        <v>15</v>
      </c>
      <c r="X118">
        <f t="shared" si="70"/>
        <v>14</v>
      </c>
      <c r="AE118" s="1">
        <f>AR117</f>
        <v>14341528</v>
      </c>
      <c r="AF118" t="s">
        <v>2</v>
      </c>
      <c r="AG118">
        <f>AE118-AH118</f>
        <v>10390321</v>
      </c>
      <c r="AH118">
        <f>AH117+1</f>
        <v>3951207</v>
      </c>
      <c r="AJ118">
        <f>INDEX($AU$22:$AU117,MATCH(AG118+1,$AT$22:$AT117,1))</f>
        <v>54</v>
      </c>
      <c r="AK118">
        <f t="shared" si="117"/>
        <v>52</v>
      </c>
      <c r="AL118">
        <f>INDEX($AT$22:$AT117,MATCH(AK118,$AU$22:$AU117,1))</f>
        <v>5453762</v>
      </c>
      <c r="AM118">
        <f t="shared" ref="AM118" si="125">AG118+AL118</f>
        <v>15844083</v>
      </c>
      <c r="AT118">
        <f>AE118</f>
        <v>14341528</v>
      </c>
      <c r="AU118">
        <f>AU117+1</f>
        <v>55</v>
      </c>
      <c r="AV118" s="1">
        <f>(AE118-AE117-1)*AU117+AU118+AV117</f>
        <v>736729200</v>
      </c>
    </row>
    <row r="119" spans="2:48" x14ac:dyDescent="0.25">
      <c r="B119">
        <f t="shared" si="56"/>
        <v>117</v>
      </c>
      <c r="C119">
        <f t="shared" si="61"/>
        <v>1761</v>
      </c>
      <c r="D119">
        <f t="shared" si="62"/>
        <v>81</v>
      </c>
      <c r="E119" s="6">
        <f t="shared" si="58"/>
        <v>36</v>
      </c>
      <c r="F119">
        <f t="shared" si="59"/>
        <v>18</v>
      </c>
      <c r="H119">
        <f>VLOOKUP(D119+1,nc,5,TRUE)</f>
        <v>17</v>
      </c>
      <c r="I119">
        <f>VLOOKUP(E119,nc,5,TRUE)</f>
        <v>14</v>
      </c>
      <c r="K119">
        <f t="shared" si="63"/>
        <v>80</v>
      </c>
      <c r="L119">
        <f>VLOOKUP(K119,nc,2,FALSE)</f>
        <v>1110</v>
      </c>
      <c r="M119">
        <f t="shared" si="64"/>
        <v>37</v>
      </c>
      <c r="N119">
        <f>VLOOKUP(M119,nc,2,FALSE)</f>
        <v>424</v>
      </c>
      <c r="O119">
        <f t="shared" si="65"/>
        <v>1762</v>
      </c>
      <c r="Q119">
        <f t="shared" si="66"/>
        <v>81</v>
      </c>
      <c r="R119">
        <f>VLOOKUP(Q119,nc,2,FALSE)</f>
        <v>1127</v>
      </c>
      <c r="S119">
        <f t="shared" si="67"/>
        <v>36</v>
      </c>
      <c r="T119">
        <f>VLOOKUP(S119,nc,2,FALSE)</f>
        <v>409</v>
      </c>
      <c r="U119">
        <f t="shared" si="68"/>
        <v>1761</v>
      </c>
      <c r="W119">
        <f t="shared" si="69"/>
        <v>15</v>
      </c>
      <c r="X119">
        <f t="shared" si="70"/>
        <v>14</v>
      </c>
      <c r="AE119" s="1">
        <f>AM118</f>
        <v>15844083</v>
      </c>
      <c r="AF119" t="s">
        <v>3</v>
      </c>
      <c r="AG119">
        <f>AG118+1</f>
        <v>10390322</v>
      </c>
      <c r="AH119">
        <f>AE119-AG119</f>
        <v>5453761</v>
      </c>
      <c r="AO119">
        <f>INDEX($AU$22:$AU118,MATCH(AH119+1,$AT$22:$AT118,1))</f>
        <v>52</v>
      </c>
      <c r="AP119">
        <f t="shared" si="119"/>
        <v>55</v>
      </c>
      <c r="AQ119">
        <f>INDEX($AT$22:$AT118,MATCH(AP119,$AU$22:$AU118,1))</f>
        <v>14341528</v>
      </c>
      <c r="AR119">
        <f t="shared" ref="AR119" si="126">AQ119+AH119</f>
        <v>19795289</v>
      </c>
      <c r="AT119">
        <f>AT118</f>
        <v>14341528</v>
      </c>
      <c r="AU119">
        <f>AU118</f>
        <v>55</v>
      </c>
      <c r="AV119" s="1">
        <f>(AE119-AE118-1)*AU118+AU119+AV118</f>
        <v>819369725</v>
      </c>
    </row>
    <row r="120" spans="2:48" x14ac:dyDescent="0.25">
      <c r="B120">
        <f t="shared" si="56"/>
        <v>118</v>
      </c>
      <c r="C120">
        <f t="shared" si="61"/>
        <v>1779</v>
      </c>
      <c r="D120">
        <f t="shared" si="62"/>
        <v>82</v>
      </c>
      <c r="E120" s="6">
        <f t="shared" si="58"/>
        <v>36</v>
      </c>
      <c r="F120">
        <f t="shared" si="59"/>
        <v>18</v>
      </c>
      <c r="H120">
        <f>VLOOKUP(D120+1,nc,5,TRUE)</f>
        <v>17</v>
      </c>
      <c r="I120">
        <f>VLOOKUP(E120,nc,5,TRUE)</f>
        <v>14</v>
      </c>
      <c r="K120">
        <f t="shared" si="63"/>
        <v>81</v>
      </c>
      <c r="L120">
        <f>VLOOKUP(K120,nc,2,FALSE)</f>
        <v>1127</v>
      </c>
      <c r="M120">
        <f t="shared" si="64"/>
        <v>37</v>
      </c>
      <c r="N120">
        <f>VLOOKUP(M120,nc,2,FALSE)</f>
        <v>424</v>
      </c>
      <c r="O120">
        <f t="shared" si="65"/>
        <v>1780</v>
      </c>
      <c r="Q120">
        <f t="shared" si="66"/>
        <v>82</v>
      </c>
      <c r="R120">
        <f>VLOOKUP(Q120,nc,2,FALSE)</f>
        <v>1144</v>
      </c>
      <c r="S120">
        <f t="shared" si="67"/>
        <v>36</v>
      </c>
      <c r="T120">
        <f>VLOOKUP(S120,nc,2,FALSE)</f>
        <v>409</v>
      </c>
      <c r="U120">
        <f t="shared" si="68"/>
        <v>1779</v>
      </c>
      <c r="W120">
        <f t="shared" si="69"/>
        <v>15</v>
      </c>
      <c r="X120">
        <f t="shared" si="70"/>
        <v>14</v>
      </c>
      <c r="AE120" s="1">
        <f>AR119</f>
        <v>19795289</v>
      </c>
      <c r="AF120" t="s">
        <v>2</v>
      </c>
      <c r="AG120">
        <f>AE120-AH120</f>
        <v>14341527</v>
      </c>
      <c r="AH120">
        <f>AH119+1</f>
        <v>5453762</v>
      </c>
      <c r="AJ120">
        <f>INDEX($AU$22:$AU119,MATCH(AG120+1,$AT$22:$AT119,1))</f>
        <v>55</v>
      </c>
      <c r="AK120">
        <f t="shared" si="117"/>
        <v>53</v>
      </c>
      <c r="AL120">
        <f>INDEX($AT$22:$AT119,MATCH(AK120,$AU$22:$AU119,1))</f>
        <v>7527705</v>
      </c>
      <c r="AM120">
        <f t="shared" ref="AM120" si="127">AG120+AL120</f>
        <v>21869232</v>
      </c>
      <c r="AT120">
        <f>AE120</f>
        <v>19795289</v>
      </c>
      <c r="AU120">
        <f>AU119+1</f>
        <v>56</v>
      </c>
      <c r="AV120" s="1">
        <f>(AE120-AE119-1)*AU119+AU120+AV119</f>
        <v>1036686056</v>
      </c>
    </row>
    <row r="121" spans="2:48" x14ac:dyDescent="0.25">
      <c r="B121">
        <f t="shared" si="56"/>
        <v>119</v>
      </c>
      <c r="C121">
        <f t="shared" si="61"/>
        <v>1797</v>
      </c>
      <c r="D121">
        <f t="shared" si="62"/>
        <v>83</v>
      </c>
      <c r="E121" s="6">
        <f t="shared" si="58"/>
        <v>36</v>
      </c>
      <c r="F121">
        <f t="shared" si="59"/>
        <v>18</v>
      </c>
      <c r="H121">
        <f>VLOOKUP(D121+1,nc,5,TRUE)</f>
        <v>17</v>
      </c>
      <c r="I121">
        <f>VLOOKUP(E121,nc,5,TRUE)</f>
        <v>14</v>
      </c>
      <c r="K121">
        <f t="shared" si="63"/>
        <v>82</v>
      </c>
      <c r="L121">
        <f>VLOOKUP(K121,nc,2,FALSE)</f>
        <v>1144</v>
      </c>
      <c r="M121">
        <f t="shared" si="64"/>
        <v>37</v>
      </c>
      <c r="N121">
        <f>VLOOKUP(M121,nc,2,FALSE)</f>
        <v>424</v>
      </c>
      <c r="O121">
        <f t="shared" si="65"/>
        <v>1798</v>
      </c>
      <c r="Q121">
        <f t="shared" si="66"/>
        <v>83</v>
      </c>
      <c r="R121">
        <f>VLOOKUP(Q121,nc,2,FALSE)</f>
        <v>1161</v>
      </c>
      <c r="S121">
        <f t="shared" si="67"/>
        <v>36</v>
      </c>
      <c r="T121">
        <f>VLOOKUP(S121,nc,2,FALSE)</f>
        <v>409</v>
      </c>
      <c r="U121">
        <f t="shared" si="68"/>
        <v>1797</v>
      </c>
      <c r="W121">
        <f t="shared" si="69"/>
        <v>15</v>
      </c>
      <c r="X121">
        <f t="shared" si="70"/>
        <v>14</v>
      </c>
      <c r="AE121" s="1">
        <f>AM120</f>
        <v>21869232</v>
      </c>
      <c r="AF121" t="s">
        <v>3</v>
      </c>
      <c r="AG121">
        <f>AG120+1</f>
        <v>14341528</v>
      </c>
      <c r="AH121">
        <f>AE121-AG121</f>
        <v>7527704</v>
      </c>
      <c r="AO121">
        <f>INDEX($AU$22:$AU120,MATCH(AH121+1,$AT$22:$AT120,1))</f>
        <v>53</v>
      </c>
      <c r="AP121">
        <f t="shared" si="119"/>
        <v>56</v>
      </c>
      <c r="AQ121">
        <f>INDEX($AT$22:$AT120,MATCH(AP121,$AU$22:$AU120,1))</f>
        <v>19795289</v>
      </c>
      <c r="AR121">
        <f t="shared" ref="AR121" si="128">AQ121+AH121</f>
        <v>27322993</v>
      </c>
      <c r="AT121">
        <f>AT120</f>
        <v>19795289</v>
      </c>
      <c r="AU121">
        <f>AU120</f>
        <v>56</v>
      </c>
      <c r="AV121" s="1">
        <f>(AE121-AE120-1)*AU120+AU121+AV120</f>
        <v>1152826864</v>
      </c>
    </row>
    <row r="122" spans="2:48" x14ac:dyDescent="0.25">
      <c r="B122">
        <f t="shared" si="56"/>
        <v>120</v>
      </c>
      <c r="C122">
        <f t="shared" si="61"/>
        <v>1815</v>
      </c>
      <c r="D122">
        <f t="shared" si="62"/>
        <v>84</v>
      </c>
      <c r="E122" s="6">
        <f t="shared" si="58"/>
        <v>36</v>
      </c>
      <c r="F122">
        <f t="shared" si="59"/>
        <v>18</v>
      </c>
      <c r="H122">
        <f>VLOOKUP(D122+1,nc,5,TRUE)</f>
        <v>17</v>
      </c>
      <c r="I122">
        <f>VLOOKUP(E122,nc,5,TRUE)</f>
        <v>14</v>
      </c>
      <c r="K122">
        <f t="shared" si="63"/>
        <v>83</v>
      </c>
      <c r="L122">
        <f>VLOOKUP(K122,nc,2,FALSE)</f>
        <v>1161</v>
      </c>
      <c r="M122">
        <f t="shared" si="64"/>
        <v>37</v>
      </c>
      <c r="N122">
        <f>VLOOKUP(M122,nc,2,FALSE)</f>
        <v>424</v>
      </c>
      <c r="O122">
        <f t="shared" si="65"/>
        <v>1816</v>
      </c>
      <c r="Q122">
        <f t="shared" si="66"/>
        <v>84</v>
      </c>
      <c r="R122">
        <f>VLOOKUP(Q122,nc,2,FALSE)</f>
        <v>1178</v>
      </c>
      <c r="S122">
        <f t="shared" si="67"/>
        <v>36</v>
      </c>
      <c r="T122">
        <f>VLOOKUP(S122,nc,2,FALSE)</f>
        <v>409</v>
      </c>
      <c r="U122">
        <f t="shared" si="68"/>
        <v>1815</v>
      </c>
      <c r="W122">
        <f t="shared" si="69"/>
        <v>15</v>
      </c>
      <c r="X122">
        <f t="shared" si="70"/>
        <v>14</v>
      </c>
      <c r="AE122" s="1">
        <f>AR121</f>
        <v>27322993</v>
      </c>
      <c r="AF122" t="s">
        <v>2</v>
      </c>
      <c r="AG122">
        <f>AE122-AH122</f>
        <v>19795288</v>
      </c>
      <c r="AH122">
        <f>AH121+1</f>
        <v>7527705</v>
      </c>
      <c r="AJ122">
        <f>INDEX($AU$22:$AU121,MATCH(AG122+1,$AT$22:$AT121,1))</f>
        <v>56</v>
      </c>
      <c r="AK122">
        <f t="shared" si="117"/>
        <v>54</v>
      </c>
      <c r="AL122">
        <f>INDEX($AT$22:$AT121,MATCH(AK122,$AU$22:$AU121,1))</f>
        <v>10390322</v>
      </c>
      <c r="AM122">
        <f t="shared" ref="AM122" si="129">AG122+AL122</f>
        <v>30185610</v>
      </c>
      <c r="AT122">
        <f>AE122</f>
        <v>27322993</v>
      </c>
      <c r="AU122">
        <f>AU121+1</f>
        <v>57</v>
      </c>
      <c r="AV122" s="1">
        <f>(AE122-AE121-1)*AU121+AU122+AV121</f>
        <v>1458237481</v>
      </c>
    </row>
    <row r="123" spans="2:48" x14ac:dyDescent="0.25">
      <c r="B123">
        <f t="shared" si="56"/>
        <v>121</v>
      </c>
      <c r="C123">
        <f t="shared" si="61"/>
        <v>1833</v>
      </c>
      <c r="D123">
        <f t="shared" si="62"/>
        <v>85</v>
      </c>
      <c r="E123" s="6">
        <f t="shared" si="58"/>
        <v>36</v>
      </c>
      <c r="F123">
        <f t="shared" si="59"/>
        <v>18</v>
      </c>
      <c r="H123">
        <f>VLOOKUP(D123+1,nc,5,TRUE)</f>
        <v>17</v>
      </c>
      <c r="I123">
        <f>VLOOKUP(E123,nc,5,TRUE)</f>
        <v>14</v>
      </c>
      <c r="K123">
        <f t="shared" si="63"/>
        <v>84</v>
      </c>
      <c r="L123">
        <f>VLOOKUP(K123,nc,2,FALSE)</f>
        <v>1178</v>
      </c>
      <c r="M123">
        <f t="shared" si="64"/>
        <v>37</v>
      </c>
      <c r="N123">
        <f>VLOOKUP(M123,nc,2,FALSE)</f>
        <v>424</v>
      </c>
      <c r="O123">
        <f t="shared" si="65"/>
        <v>1834</v>
      </c>
      <c r="Q123">
        <f t="shared" si="66"/>
        <v>85</v>
      </c>
      <c r="R123">
        <f>VLOOKUP(Q123,nc,2,FALSE)</f>
        <v>1195</v>
      </c>
      <c r="S123">
        <f t="shared" si="67"/>
        <v>36</v>
      </c>
      <c r="T123">
        <f>VLOOKUP(S123,nc,2,FALSE)</f>
        <v>409</v>
      </c>
      <c r="U123">
        <f t="shared" si="68"/>
        <v>1833</v>
      </c>
      <c r="W123">
        <f t="shared" si="69"/>
        <v>15</v>
      </c>
      <c r="X123">
        <f t="shared" si="70"/>
        <v>14</v>
      </c>
      <c r="AE123" s="1">
        <f>AM122</f>
        <v>30185610</v>
      </c>
      <c r="AF123" t="s">
        <v>3</v>
      </c>
      <c r="AG123">
        <f>AG122+1</f>
        <v>19795289</v>
      </c>
      <c r="AH123">
        <f>AE123-AG123</f>
        <v>10390321</v>
      </c>
      <c r="AO123">
        <f>INDEX($AU$22:$AU122,MATCH(AH123+1,$AT$22:$AT122,1))</f>
        <v>54</v>
      </c>
      <c r="AP123">
        <f t="shared" si="119"/>
        <v>57</v>
      </c>
      <c r="AQ123">
        <f>INDEX($AT$22:$AT122,MATCH(AP123,$AU$22:$AU122,1))</f>
        <v>27322993</v>
      </c>
      <c r="AR123">
        <f t="shared" ref="AR123" si="130">AQ123+AH123</f>
        <v>37713314</v>
      </c>
      <c r="AT123">
        <f>AT122</f>
        <v>27322993</v>
      </c>
      <c r="AU123">
        <f>AU122</f>
        <v>57</v>
      </c>
      <c r="AV123" s="1">
        <f>(AE123-AE122-1)*AU122+AU123+AV122</f>
        <v>1621406650</v>
      </c>
    </row>
    <row r="124" spans="2:48" x14ac:dyDescent="0.25">
      <c r="B124">
        <f t="shared" si="56"/>
        <v>122</v>
      </c>
      <c r="C124">
        <f t="shared" si="61"/>
        <v>1851</v>
      </c>
      <c r="D124">
        <f t="shared" si="62"/>
        <v>86</v>
      </c>
      <c r="E124" s="6">
        <f t="shared" si="58"/>
        <v>36</v>
      </c>
      <c r="F124">
        <f t="shared" si="59"/>
        <v>18</v>
      </c>
      <c r="H124">
        <f>VLOOKUP(D124+1,nc,5,TRUE)</f>
        <v>17</v>
      </c>
      <c r="I124">
        <f>VLOOKUP(E124,nc,5,TRUE)</f>
        <v>14</v>
      </c>
      <c r="K124">
        <f t="shared" si="63"/>
        <v>85</v>
      </c>
      <c r="L124">
        <f>VLOOKUP(K124,nc,2,FALSE)</f>
        <v>1195</v>
      </c>
      <c r="M124">
        <f t="shared" si="64"/>
        <v>37</v>
      </c>
      <c r="N124">
        <f>VLOOKUP(M124,nc,2,FALSE)</f>
        <v>424</v>
      </c>
      <c r="O124">
        <f t="shared" si="65"/>
        <v>1852</v>
      </c>
      <c r="Q124">
        <f t="shared" si="66"/>
        <v>86</v>
      </c>
      <c r="R124">
        <f>VLOOKUP(Q124,nc,2,FALSE)</f>
        <v>1212</v>
      </c>
      <c r="S124">
        <f t="shared" si="67"/>
        <v>36</v>
      </c>
      <c r="T124">
        <f>VLOOKUP(S124,nc,2,FALSE)</f>
        <v>409</v>
      </c>
      <c r="U124">
        <f t="shared" si="68"/>
        <v>1851</v>
      </c>
      <c r="W124">
        <f t="shared" si="69"/>
        <v>15</v>
      </c>
      <c r="X124">
        <f t="shared" si="70"/>
        <v>14</v>
      </c>
      <c r="AE124" s="1">
        <f>AR123</f>
        <v>37713314</v>
      </c>
      <c r="AF124" t="s">
        <v>2</v>
      </c>
      <c r="AG124">
        <f>AE124-AH124</f>
        <v>27322992</v>
      </c>
      <c r="AH124">
        <f>AH123+1</f>
        <v>10390322</v>
      </c>
      <c r="AJ124">
        <f>INDEX($AU$22:$AU123,MATCH(AG124+1,$AT$22:$AT123,1))</f>
        <v>57</v>
      </c>
      <c r="AK124">
        <f t="shared" ref="AK124:AK126" si="131">AJ124-2</f>
        <v>55</v>
      </c>
      <c r="AL124">
        <f>INDEX($AT$22:$AT123,MATCH(AK124,$AU$22:$AU123,1))</f>
        <v>14341528</v>
      </c>
      <c r="AM124">
        <f t="shared" ref="AM124" si="132">AG124+AL124</f>
        <v>41664520</v>
      </c>
      <c r="AT124">
        <f>AE124</f>
        <v>37713314</v>
      </c>
      <c r="AU124">
        <f>AU123+1</f>
        <v>58</v>
      </c>
      <c r="AV124" s="1">
        <f>(AE124-AE123-1)*AU123+AU124+AV123</f>
        <v>2050485779</v>
      </c>
    </row>
    <row r="125" spans="2:48" x14ac:dyDescent="0.25">
      <c r="B125">
        <f t="shared" si="56"/>
        <v>123</v>
      </c>
      <c r="C125">
        <f t="shared" si="61"/>
        <v>1869</v>
      </c>
      <c r="D125">
        <f t="shared" si="62"/>
        <v>87</v>
      </c>
      <c r="E125" s="6">
        <f t="shared" si="58"/>
        <v>36</v>
      </c>
      <c r="F125">
        <f t="shared" si="59"/>
        <v>18</v>
      </c>
      <c r="H125">
        <f>VLOOKUP(D125+1,nc,5,TRUE)</f>
        <v>17</v>
      </c>
      <c r="I125">
        <f>VLOOKUP(E125,nc,5,TRUE)</f>
        <v>14</v>
      </c>
      <c r="K125">
        <f t="shared" si="63"/>
        <v>86</v>
      </c>
      <c r="L125">
        <f>VLOOKUP(K125,nc,2,FALSE)</f>
        <v>1212</v>
      </c>
      <c r="M125">
        <f t="shared" si="64"/>
        <v>37</v>
      </c>
      <c r="N125">
        <f>VLOOKUP(M125,nc,2,FALSE)</f>
        <v>424</v>
      </c>
      <c r="O125">
        <f t="shared" si="65"/>
        <v>1870</v>
      </c>
      <c r="Q125">
        <f t="shared" si="66"/>
        <v>87</v>
      </c>
      <c r="R125">
        <f>VLOOKUP(Q125,nc,2,FALSE)</f>
        <v>1229</v>
      </c>
      <c r="S125">
        <f t="shared" si="67"/>
        <v>36</v>
      </c>
      <c r="T125">
        <f>VLOOKUP(S125,nc,2,FALSE)</f>
        <v>409</v>
      </c>
      <c r="U125">
        <f t="shared" si="68"/>
        <v>1869</v>
      </c>
      <c r="W125">
        <f t="shared" si="69"/>
        <v>15</v>
      </c>
      <c r="X125">
        <f t="shared" si="70"/>
        <v>14</v>
      </c>
      <c r="AE125" s="1">
        <f>AM124</f>
        <v>41664520</v>
      </c>
      <c r="AF125" t="s">
        <v>3</v>
      </c>
      <c r="AG125">
        <f>AG124+1</f>
        <v>27322993</v>
      </c>
      <c r="AH125">
        <f>AE125-AG125</f>
        <v>14341527</v>
      </c>
      <c r="AO125">
        <f>INDEX($AU$22:$AU124,MATCH(AH125+1,$AT$22:$AT124,1))</f>
        <v>55</v>
      </c>
      <c r="AP125">
        <f t="shared" ref="AP125:AP127" si="133">AO125+3</f>
        <v>58</v>
      </c>
      <c r="AQ125">
        <f>INDEX($AT$22:$AT124,MATCH(AP125,$AU$22:$AU124,1))</f>
        <v>37713314</v>
      </c>
      <c r="AR125">
        <f t="shared" ref="AR125" si="134">AQ125+AH125</f>
        <v>52054841</v>
      </c>
      <c r="AT125">
        <f>AT124</f>
        <v>37713314</v>
      </c>
      <c r="AU125">
        <f>AU124</f>
        <v>58</v>
      </c>
      <c r="AV125" s="1">
        <f>(AE125-AE124-1)*AU124+AU125+AV124</f>
        <v>2279655727</v>
      </c>
    </row>
    <row r="126" spans="2:48" x14ac:dyDescent="0.25">
      <c r="B126">
        <f t="shared" si="56"/>
        <v>124</v>
      </c>
      <c r="C126">
        <f t="shared" si="61"/>
        <v>1887</v>
      </c>
      <c r="D126">
        <f t="shared" si="62"/>
        <v>88</v>
      </c>
      <c r="E126" s="6">
        <f t="shared" si="58"/>
        <v>36</v>
      </c>
      <c r="F126">
        <f t="shared" si="59"/>
        <v>18</v>
      </c>
      <c r="H126">
        <f>VLOOKUP(D126+1,nc,5,TRUE)</f>
        <v>17</v>
      </c>
      <c r="I126">
        <f>VLOOKUP(E126,nc,5,TRUE)</f>
        <v>14</v>
      </c>
      <c r="K126">
        <f t="shared" si="63"/>
        <v>87</v>
      </c>
      <c r="L126">
        <f>VLOOKUP(K126,nc,2,FALSE)</f>
        <v>1229</v>
      </c>
      <c r="M126">
        <f t="shared" si="64"/>
        <v>37</v>
      </c>
      <c r="N126">
        <f>VLOOKUP(M126,nc,2,FALSE)</f>
        <v>424</v>
      </c>
      <c r="O126">
        <f t="shared" si="65"/>
        <v>1888</v>
      </c>
      <c r="Q126">
        <f t="shared" si="66"/>
        <v>88</v>
      </c>
      <c r="R126">
        <f>VLOOKUP(Q126,nc,2,FALSE)</f>
        <v>1246</v>
      </c>
      <c r="S126">
        <f t="shared" si="67"/>
        <v>36</v>
      </c>
      <c r="T126">
        <f>VLOOKUP(S126,nc,2,FALSE)</f>
        <v>409</v>
      </c>
      <c r="U126">
        <f t="shared" si="68"/>
        <v>1887</v>
      </c>
      <c r="W126">
        <f t="shared" si="69"/>
        <v>15</v>
      </c>
      <c r="X126">
        <f t="shared" si="70"/>
        <v>14</v>
      </c>
      <c r="AE126" s="1">
        <f>AR125</f>
        <v>52054841</v>
      </c>
      <c r="AF126" t="s">
        <v>2</v>
      </c>
      <c r="AG126">
        <f>AE126-AH126</f>
        <v>37713313</v>
      </c>
      <c r="AH126">
        <f>AH125+1</f>
        <v>14341528</v>
      </c>
      <c r="AJ126">
        <f>INDEX($AU$22:$AU125,MATCH(AG126+1,$AT$22:$AT125,1))</f>
        <v>58</v>
      </c>
      <c r="AK126">
        <f t="shared" si="131"/>
        <v>56</v>
      </c>
      <c r="AL126">
        <f>INDEX($AT$22:$AT125,MATCH(AK126,$AU$22:$AU125,1))</f>
        <v>19795289</v>
      </c>
      <c r="AM126">
        <f t="shared" ref="AM126" si="135">AG126+AL126</f>
        <v>57508602</v>
      </c>
      <c r="AT126">
        <f>AE126</f>
        <v>52054841</v>
      </c>
      <c r="AU126">
        <f>AU125+1</f>
        <v>59</v>
      </c>
      <c r="AV126" s="1">
        <f>(AE126-AE125-1)*AU125+AU126+AV125</f>
        <v>2882294346</v>
      </c>
    </row>
    <row r="127" spans="2:48" x14ac:dyDescent="0.25">
      <c r="B127">
        <f t="shared" si="56"/>
        <v>125</v>
      </c>
      <c r="C127">
        <f t="shared" si="61"/>
        <v>1905</v>
      </c>
      <c r="D127">
        <f t="shared" si="62"/>
        <v>89</v>
      </c>
      <c r="E127" s="6">
        <f t="shared" si="58"/>
        <v>36</v>
      </c>
      <c r="F127">
        <f t="shared" si="59"/>
        <v>18</v>
      </c>
      <c r="H127">
        <f>VLOOKUP(D127+1,nc,5,TRUE)</f>
        <v>17</v>
      </c>
      <c r="I127">
        <f>VLOOKUP(E127,nc,5,TRUE)</f>
        <v>14</v>
      </c>
      <c r="K127">
        <f t="shared" si="63"/>
        <v>88</v>
      </c>
      <c r="L127">
        <f>VLOOKUP(K127,nc,2,FALSE)</f>
        <v>1246</v>
      </c>
      <c r="M127">
        <f t="shared" si="64"/>
        <v>37</v>
      </c>
      <c r="N127">
        <f>VLOOKUP(M127,nc,2,FALSE)</f>
        <v>424</v>
      </c>
      <c r="O127">
        <f t="shared" si="65"/>
        <v>1906</v>
      </c>
      <c r="Q127">
        <f t="shared" si="66"/>
        <v>89</v>
      </c>
      <c r="R127">
        <f>VLOOKUP(Q127,nc,2,FALSE)</f>
        <v>1263</v>
      </c>
      <c r="S127">
        <f t="shared" si="67"/>
        <v>36</v>
      </c>
      <c r="T127">
        <f>VLOOKUP(S127,nc,2,FALSE)</f>
        <v>409</v>
      </c>
      <c r="U127">
        <f t="shared" si="68"/>
        <v>1905</v>
      </c>
      <c r="W127">
        <f t="shared" si="69"/>
        <v>15</v>
      </c>
      <c r="X127">
        <f t="shared" si="70"/>
        <v>14</v>
      </c>
      <c r="AE127" s="1">
        <f>AM126</f>
        <v>57508602</v>
      </c>
      <c r="AF127" t="s">
        <v>3</v>
      </c>
      <c r="AG127">
        <f>AG126+1</f>
        <v>37713314</v>
      </c>
      <c r="AH127">
        <f>AE127-AG127</f>
        <v>19795288</v>
      </c>
      <c r="AO127">
        <f>INDEX($AU$22:$AU126,MATCH(AH127+1,$AT$22:$AT126,1))</f>
        <v>56</v>
      </c>
      <c r="AP127">
        <f t="shared" si="133"/>
        <v>59</v>
      </c>
      <c r="AQ127">
        <f>INDEX($AT$22:$AT126,MATCH(AP127,$AU$22:$AU126,1))</f>
        <v>52054841</v>
      </c>
      <c r="AR127">
        <f t="shared" ref="AR127" si="136">AQ127+AH127</f>
        <v>71850129</v>
      </c>
      <c r="AT127">
        <f>AT126</f>
        <v>52054841</v>
      </c>
      <c r="AU127">
        <f>AU126</f>
        <v>59</v>
      </c>
      <c r="AV127" s="1">
        <f>(AE127-AE126-1)*AU126+AU127+AV126</f>
        <v>3204066245</v>
      </c>
    </row>
    <row r="128" spans="2:48" x14ac:dyDescent="0.25">
      <c r="B128">
        <f t="shared" si="56"/>
        <v>126</v>
      </c>
      <c r="C128">
        <f t="shared" si="61"/>
        <v>1923</v>
      </c>
      <c r="D128">
        <f t="shared" si="62"/>
        <v>90</v>
      </c>
      <c r="E128" s="6">
        <f t="shared" si="58"/>
        <v>36</v>
      </c>
      <c r="F128">
        <f t="shared" si="59"/>
        <v>18</v>
      </c>
      <c r="H128">
        <f>VLOOKUP(D128+1,nc,5,TRUE)</f>
        <v>17</v>
      </c>
      <c r="I128">
        <f>VLOOKUP(E128,nc,5,TRUE)</f>
        <v>14</v>
      </c>
      <c r="K128">
        <f t="shared" si="63"/>
        <v>89</v>
      </c>
      <c r="L128">
        <f>VLOOKUP(K128,nc,2,FALSE)</f>
        <v>1263</v>
      </c>
      <c r="M128">
        <f t="shared" si="64"/>
        <v>37</v>
      </c>
      <c r="N128">
        <f>VLOOKUP(M128,nc,2,FALSE)</f>
        <v>424</v>
      </c>
      <c r="O128">
        <f t="shared" si="65"/>
        <v>1924</v>
      </c>
      <c r="Q128">
        <f t="shared" si="66"/>
        <v>90</v>
      </c>
      <c r="R128">
        <f>VLOOKUP(Q128,nc,2,FALSE)</f>
        <v>1280</v>
      </c>
      <c r="S128">
        <f t="shared" si="67"/>
        <v>36</v>
      </c>
      <c r="T128">
        <f>VLOOKUP(S128,nc,2,FALSE)</f>
        <v>409</v>
      </c>
      <c r="U128">
        <f t="shared" si="68"/>
        <v>1923</v>
      </c>
      <c r="W128">
        <f t="shared" si="69"/>
        <v>15</v>
      </c>
      <c r="X128">
        <f t="shared" si="70"/>
        <v>14</v>
      </c>
      <c r="AE128" s="1">
        <f>AR127</f>
        <v>71850129</v>
      </c>
      <c r="AF128" t="s">
        <v>2</v>
      </c>
      <c r="AG128">
        <f>AE128-AH128</f>
        <v>52054840</v>
      </c>
      <c r="AH128">
        <f>AH127+1</f>
        <v>19795289</v>
      </c>
      <c r="AJ128">
        <f>INDEX($AU$22:$AU127,MATCH(AG128+1,$AT$22:$AT127,1))</f>
        <v>59</v>
      </c>
      <c r="AK128">
        <f t="shared" ref="AK128:AK138" si="137">AJ128-2</f>
        <v>57</v>
      </c>
      <c r="AL128">
        <f>INDEX($AT$22:$AT127,MATCH(AK128,$AU$22:$AU127,1))</f>
        <v>27322993</v>
      </c>
      <c r="AM128">
        <f t="shared" ref="AM128" si="138">AG128+AL128</f>
        <v>79377833</v>
      </c>
      <c r="AT128">
        <f>AE128</f>
        <v>71850129</v>
      </c>
      <c r="AU128">
        <f>AU127+1</f>
        <v>60</v>
      </c>
      <c r="AV128" s="1">
        <f>(AE128-AE127-1)*AU127+AU128+AV127</f>
        <v>4050216339</v>
      </c>
    </row>
    <row r="129" spans="2:52" x14ac:dyDescent="0.25">
      <c r="B129">
        <f t="shared" si="56"/>
        <v>127</v>
      </c>
      <c r="C129">
        <f t="shared" si="61"/>
        <v>1941</v>
      </c>
      <c r="D129">
        <f t="shared" si="62"/>
        <v>91</v>
      </c>
      <c r="E129" s="6">
        <f t="shared" si="58"/>
        <v>36</v>
      </c>
      <c r="F129">
        <f t="shared" si="59"/>
        <v>18</v>
      </c>
      <c r="H129">
        <f>VLOOKUP(D129+1,nc,5,TRUE)</f>
        <v>17</v>
      </c>
      <c r="I129">
        <f>VLOOKUP(E129,nc,5,TRUE)</f>
        <v>14</v>
      </c>
      <c r="K129">
        <f t="shared" si="63"/>
        <v>90</v>
      </c>
      <c r="L129">
        <f>VLOOKUP(K129,nc,2,FALSE)</f>
        <v>1280</v>
      </c>
      <c r="M129">
        <f t="shared" si="64"/>
        <v>37</v>
      </c>
      <c r="N129">
        <f>VLOOKUP(M129,nc,2,FALSE)</f>
        <v>424</v>
      </c>
      <c r="O129">
        <f t="shared" si="65"/>
        <v>1942</v>
      </c>
      <c r="Q129">
        <f t="shared" si="66"/>
        <v>91</v>
      </c>
      <c r="R129">
        <f>VLOOKUP(Q129,nc,2,FALSE)</f>
        <v>1297</v>
      </c>
      <c r="S129">
        <f t="shared" si="67"/>
        <v>36</v>
      </c>
      <c r="T129">
        <f>VLOOKUP(S129,nc,2,FALSE)</f>
        <v>409</v>
      </c>
      <c r="U129">
        <f t="shared" si="68"/>
        <v>1941</v>
      </c>
      <c r="W129">
        <f t="shared" si="69"/>
        <v>15</v>
      </c>
      <c r="X129">
        <f t="shared" si="70"/>
        <v>14</v>
      </c>
      <c r="AE129" s="1">
        <f>AM128</f>
        <v>79377833</v>
      </c>
      <c r="AF129" t="s">
        <v>3</v>
      </c>
      <c r="AG129">
        <f>AG128+1</f>
        <v>52054841</v>
      </c>
      <c r="AH129">
        <f>AE129-AG129</f>
        <v>27322992</v>
      </c>
      <c r="AO129">
        <f>INDEX($AU$22:$AU128,MATCH(AH129+1,$AT$22:$AT128,1))</f>
        <v>57</v>
      </c>
      <c r="AP129">
        <f t="shared" ref="AP129:AP139" si="139">AO129+3</f>
        <v>60</v>
      </c>
      <c r="AQ129">
        <f>INDEX($AT$22:$AT128,MATCH(AP129,$AU$22:$AU128,1))</f>
        <v>71850129</v>
      </c>
      <c r="AR129">
        <f t="shared" ref="AR129" si="140">AQ129+AH129</f>
        <v>99173121</v>
      </c>
      <c r="AT129">
        <f>AT128</f>
        <v>71850129</v>
      </c>
      <c r="AU129">
        <f>AU128</f>
        <v>60</v>
      </c>
      <c r="AV129" s="1">
        <f>(AE129-AE128-1)*AU128+AU129+AV128</f>
        <v>4501878579</v>
      </c>
    </row>
    <row r="130" spans="2:52" x14ac:dyDescent="0.25">
      <c r="B130">
        <f t="shared" si="56"/>
        <v>128</v>
      </c>
      <c r="C130">
        <f t="shared" si="61"/>
        <v>1959</v>
      </c>
      <c r="D130">
        <f t="shared" si="62"/>
        <v>92</v>
      </c>
      <c r="E130" s="6">
        <f t="shared" si="58"/>
        <v>36</v>
      </c>
      <c r="F130">
        <f t="shared" si="59"/>
        <v>18</v>
      </c>
      <c r="H130">
        <f>VLOOKUP(D130+1,nc,5,TRUE)</f>
        <v>17</v>
      </c>
      <c r="I130">
        <f>VLOOKUP(E130,nc,5,TRUE)</f>
        <v>14</v>
      </c>
      <c r="K130">
        <f t="shared" si="63"/>
        <v>91</v>
      </c>
      <c r="L130">
        <f>VLOOKUP(K130,nc,2,FALSE)</f>
        <v>1297</v>
      </c>
      <c r="M130">
        <f t="shared" si="64"/>
        <v>37</v>
      </c>
      <c r="N130">
        <f>VLOOKUP(M130,nc,2,FALSE)</f>
        <v>424</v>
      </c>
      <c r="O130">
        <f t="shared" si="65"/>
        <v>1960</v>
      </c>
      <c r="Q130">
        <f t="shared" si="66"/>
        <v>92</v>
      </c>
      <c r="R130">
        <f>VLOOKUP(Q130,nc,2,FALSE)</f>
        <v>1314</v>
      </c>
      <c r="S130">
        <f t="shared" si="67"/>
        <v>36</v>
      </c>
      <c r="T130">
        <f>VLOOKUP(S130,nc,2,FALSE)</f>
        <v>409</v>
      </c>
      <c r="U130">
        <f t="shared" si="68"/>
        <v>1959</v>
      </c>
      <c r="W130">
        <f t="shared" si="69"/>
        <v>15</v>
      </c>
      <c r="X130">
        <f t="shared" si="70"/>
        <v>14</v>
      </c>
      <c r="AE130" s="1">
        <f>AR129</f>
        <v>99173121</v>
      </c>
      <c r="AF130" t="s">
        <v>2</v>
      </c>
      <c r="AG130">
        <f>AE130-AH130</f>
        <v>71850128</v>
      </c>
      <c r="AH130">
        <f>AH129+1</f>
        <v>27322993</v>
      </c>
      <c r="AJ130">
        <f>INDEX($AU$22:$AU129,MATCH(AG130+1,$AT$22:$AT129,1))</f>
        <v>60</v>
      </c>
      <c r="AK130">
        <f t="shared" si="137"/>
        <v>58</v>
      </c>
      <c r="AL130">
        <f>INDEX($AT$22:$AT129,MATCH(AK130,$AU$22:$AU129,1))</f>
        <v>37713314</v>
      </c>
      <c r="AM130">
        <f t="shared" ref="AM130" si="141">AG130+AL130</f>
        <v>109563442</v>
      </c>
      <c r="AT130">
        <f>AE130</f>
        <v>99173121</v>
      </c>
      <c r="AU130">
        <f>AU129+1</f>
        <v>61</v>
      </c>
      <c r="AV130" s="1">
        <f>(AE130-AE129-1)*AU129+AU130+AV129</f>
        <v>5689595860</v>
      </c>
    </row>
    <row r="131" spans="2:52" x14ac:dyDescent="0.25">
      <c r="B131">
        <f t="shared" si="56"/>
        <v>129</v>
      </c>
      <c r="C131">
        <f t="shared" si="61"/>
        <v>1977</v>
      </c>
      <c r="D131">
        <f t="shared" si="62"/>
        <v>93</v>
      </c>
      <c r="E131" s="6">
        <f t="shared" si="58"/>
        <v>36</v>
      </c>
      <c r="F131">
        <f t="shared" si="59"/>
        <v>18</v>
      </c>
      <c r="H131">
        <f>VLOOKUP(D131+1,nc,5,TRUE)</f>
        <v>17</v>
      </c>
      <c r="I131">
        <f>VLOOKUP(E131,nc,5,TRUE)</f>
        <v>14</v>
      </c>
      <c r="K131">
        <f t="shared" si="63"/>
        <v>92</v>
      </c>
      <c r="L131">
        <f>VLOOKUP(K131,nc,2,FALSE)</f>
        <v>1314</v>
      </c>
      <c r="M131">
        <f t="shared" si="64"/>
        <v>37</v>
      </c>
      <c r="N131">
        <f>VLOOKUP(M131,nc,2,FALSE)</f>
        <v>424</v>
      </c>
      <c r="O131">
        <f t="shared" si="65"/>
        <v>1978</v>
      </c>
      <c r="Q131">
        <f t="shared" si="66"/>
        <v>93</v>
      </c>
      <c r="R131">
        <f>VLOOKUP(Q131,nc,2,FALSE)</f>
        <v>1331</v>
      </c>
      <c r="S131">
        <f t="shared" si="67"/>
        <v>36</v>
      </c>
      <c r="T131">
        <f>VLOOKUP(S131,nc,2,FALSE)</f>
        <v>409</v>
      </c>
      <c r="U131">
        <f t="shared" si="68"/>
        <v>1977</v>
      </c>
      <c r="W131">
        <f t="shared" si="69"/>
        <v>15</v>
      </c>
      <c r="X131">
        <f t="shared" si="70"/>
        <v>14</v>
      </c>
      <c r="AE131" s="1">
        <f>AM130</f>
        <v>109563442</v>
      </c>
      <c r="AF131" t="s">
        <v>3</v>
      </c>
      <c r="AG131">
        <f>AG130+1</f>
        <v>71850129</v>
      </c>
      <c r="AH131">
        <f>AE131-AG131</f>
        <v>37713313</v>
      </c>
      <c r="AO131">
        <f>INDEX($AU$22:$AU130,MATCH(AH131+1,$AT$22:$AT130,1))</f>
        <v>58</v>
      </c>
      <c r="AP131">
        <f t="shared" si="139"/>
        <v>61</v>
      </c>
      <c r="AQ131">
        <f>INDEX($AT$22:$AT130,MATCH(AP131,$AU$22:$AU130,1))</f>
        <v>99173121</v>
      </c>
      <c r="AR131">
        <f t="shared" ref="AR131" si="142">AQ131+AH131</f>
        <v>136886434</v>
      </c>
      <c r="AT131">
        <f>AT130</f>
        <v>99173121</v>
      </c>
      <c r="AU131">
        <f>AU130</f>
        <v>61</v>
      </c>
      <c r="AV131" s="1">
        <f>(AE131-AE130-1)*AU130+AU131+AV130</f>
        <v>6323405441</v>
      </c>
    </row>
    <row r="132" spans="2:52" x14ac:dyDescent="0.25">
      <c r="B132">
        <f t="shared" ref="B132:B195" si="143">B131+1</f>
        <v>130</v>
      </c>
      <c r="C132">
        <f t="shared" si="61"/>
        <v>1995</v>
      </c>
      <c r="D132">
        <f t="shared" si="62"/>
        <v>94</v>
      </c>
      <c r="E132" s="6">
        <f t="shared" si="58"/>
        <v>36</v>
      </c>
      <c r="F132">
        <f t="shared" si="59"/>
        <v>18</v>
      </c>
      <c r="H132">
        <f>VLOOKUP(D132+1,nc,5,TRUE)</f>
        <v>17</v>
      </c>
      <c r="I132">
        <f>VLOOKUP(E132,nc,5,TRUE)</f>
        <v>14</v>
      </c>
      <c r="K132">
        <f t="shared" si="63"/>
        <v>93</v>
      </c>
      <c r="L132">
        <f>VLOOKUP(K132,nc,2,FALSE)</f>
        <v>1331</v>
      </c>
      <c r="M132">
        <f t="shared" si="64"/>
        <v>37</v>
      </c>
      <c r="N132">
        <f>VLOOKUP(M132,nc,2,FALSE)</f>
        <v>424</v>
      </c>
      <c r="O132">
        <f t="shared" si="65"/>
        <v>1996</v>
      </c>
      <c r="Q132">
        <f t="shared" si="66"/>
        <v>94</v>
      </c>
      <c r="R132">
        <f>VLOOKUP(Q132,nc,2,FALSE)</f>
        <v>1348</v>
      </c>
      <c r="S132">
        <f t="shared" si="67"/>
        <v>36</v>
      </c>
      <c r="T132">
        <f>VLOOKUP(S132,nc,2,FALSE)</f>
        <v>409</v>
      </c>
      <c r="U132">
        <f t="shared" si="68"/>
        <v>1995</v>
      </c>
      <c r="W132">
        <f t="shared" si="69"/>
        <v>15</v>
      </c>
      <c r="X132">
        <f t="shared" si="70"/>
        <v>14</v>
      </c>
      <c r="AE132" s="1">
        <f>AR131</f>
        <v>136886434</v>
      </c>
      <c r="AF132" t="s">
        <v>2</v>
      </c>
      <c r="AG132">
        <f>AE132-AH132</f>
        <v>99173120</v>
      </c>
      <c r="AH132">
        <f>AH131+1</f>
        <v>37713314</v>
      </c>
      <c r="AJ132">
        <f>INDEX($AU$22:$AU131,MATCH(AG132+1,$AT$22:$AT131,1))</f>
        <v>61</v>
      </c>
      <c r="AK132">
        <f t="shared" si="137"/>
        <v>59</v>
      </c>
      <c r="AL132">
        <f>INDEX($AT$22:$AT131,MATCH(AK132,$AU$22:$AU131,1))</f>
        <v>52054841</v>
      </c>
      <c r="AM132">
        <f t="shared" ref="AM132" si="144">AG132+AL132</f>
        <v>151227961</v>
      </c>
      <c r="AT132">
        <f>AE132</f>
        <v>136886434</v>
      </c>
      <c r="AU132">
        <f>AU131+1</f>
        <v>62</v>
      </c>
      <c r="AV132" s="1">
        <f>(AE132-AE131-1)*AU131+AU132+AV131</f>
        <v>7990107954</v>
      </c>
    </row>
    <row r="133" spans="2:52" x14ac:dyDescent="0.25">
      <c r="B133">
        <f t="shared" si="143"/>
        <v>131</v>
      </c>
      <c r="C133">
        <f t="shared" si="61"/>
        <v>2013</v>
      </c>
      <c r="D133">
        <f t="shared" si="62"/>
        <v>95</v>
      </c>
      <c r="E133" s="6">
        <f t="shared" ref="E133:E193" si="145">B133-D133</f>
        <v>36</v>
      </c>
      <c r="F133">
        <f t="shared" ref="F133:F193" si="146">C133-C132</f>
        <v>18</v>
      </c>
      <c r="H133">
        <f>VLOOKUP(D133+1,nc,5,TRUE)</f>
        <v>18</v>
      </c>
      <c r="I133">
        <f>VLOOKUP(E133,nc,5,TRUE)</f>
        <v>14</v>
      </c>
      <c r="K133">
        <f t="shared" si="63"/>
        <v>94</v>
      </c>
      <c r="L133">
        <f>VLOOKUP(K133,nc,2,FALSE)</f>
        <v>1348</v>
      </c>
      <c r="M133">
        <f t="shared" si="64"/>
        <v>37</v>
      </c>
      <c r="N133">
        <f>VLOOKUP(M133,nc,2,FALSE)</f>
        <v>424</v>
      </c>
      <c r="O133">
        <f t="shared" si="65"/>
        <v>2014</v>
      </c>
      <c r="Q133">
        <f t="shared" si="66"/>
        <v>95</v>
      </c>
      <c r="R133">
        <f>VLOOKUP(Q133,nc,2,FALSE)</f>
        <v>1365</v>
      </c>
      <c r="S133">
        <f t="shared" si="67"/>
        <v>36</v>
      </c>
      <c r="T133">
        <f>VLOOKUP(S133,nc,2,FALSE)</f>
        <v>409</v>
      </c>
      <c r="U133">
        <f t="shared" si="68"/>
        <v>2013</v>
      </c>
      <c r="W133">
        <f t="shared" si="69"/>
        <v>15</v>
      </c>
      <c r="X133">
        <f t="shared" si="70"/>
        <v>14</v>
      </c>
      <c r="AE133" s="1">
        <f>AM132</f>
        <v>151227961</v>
      </c>
      <c r="AF133" t="s">
        <v>3</v>
      </c>
      <c r="AG133">
        <f>AG132+1</f>
        <v>99173121</v>
      </c>
      <c r="AH133">
        <f>AE133-AG133</f>
        <v>52054840</v>
      </c>
      <c r="AO133">
        <f>INDEX($AU$22:$AU132,MATCH(AH133+1,$AT$22:$AT132,1))</f>
        <v>59</v>
      </c>
      <c r="AP133">
        <f t="shared" si="139"/>
        <v>62</v>
      </c>
      <c r="AQ133">
        <f>INDEX($AT$22:$AT132,MATCH(AP133,$AU$22:$AU132,1))</f>
        <v>136886434</v>
      </c>
      <c r="AR133">
        <f t="shared" ref="AR133" si="147">AQ133+AH133</f>
        <v>188941274</v>
      </c>
      <c r="AT133">
        <f>AT132</f>
        <v>136886434</v>
      </c>
      <c r="AU133">
        <f>AU132</f>
        <v>62</v>
      </c>
      <c r="AV133" s="1">
        <f>(AE133-AE132-1)*AU132+AU133+AV132</f>
        <v>8879282628</v>
      </c>
    </row>
    <row r="134" spans="2:52" x14ac:dyDescent="0.25">
      <c r="B134" s="6">
        <f t="shared" si="143"/>
        <v>132</v>
      </c>
      <c r="C134" s="6">
        <f t="shared" ref="C134:C197" si="148">MIN(O134,U134)</f>
        <v>2032</v>
      </c>
      <c r="D134" s="6">
        <f t="shared" ref="D134:D197" si="149">IF(O134&lt;=U134,K134,Q134)</f>
        <v>95</v>
      </c>
      <c r="E134" s="6">
        <f t="shared" si="145"/>
        <v>37</v>
      </c>
      <c r="F134" s="6">
        <f t="shared" si="146"/>
        <v>19</v>
      </c>
      <c r="G134" s="6"/>
      <c r="H134" s="6">
        <f>VLOOKUP(D134+1,nc,5,TRUE)</f>
        <v>18</v>
      </c>
      <c r="I134" s="6">
        <f>VLOOKUP(E134,nc,5,TRUE)</f>
        <v>15</v>
      </c>
      <c r="J134" s="6"/>
      <c r="K134" s="6">
        <f t="shared" ref="K134:K197" si="150">D133</f>
        <v>95</v>
      </c>
      <c r="L134" s="6">
        <f>VLOOKUP(K134,nc,2,FALSE)</f>
        <v>1365</v>
      </c>
      <c r="M134" s="6">
        <f t="shared" ref="M134:M197" si="151">B134-K134</f>
        <v>37</v>
      </c>
      <c r="N134" s="6">
        <f>VLOOKUP(M134,nc,2,FALSE)</f>
        <v>424</v>
      </c>
      <c r="O134" s="6">
        <f t="shared" ref="O134:O193" si="152">K134+L134+4*M134+N134</f>
        <v>2032</v>
      </c>
      <c r="P134" s="6"/>
      <c r="Q134" s="6">
        <f t="shared" ref="Q134:Q197" si="153">K134+1</f>
        <v>96</v>
      </c>
      <c r="R134" s="6">
        <f>VLOOKUP(Q134,nc,2,FALSE)</f>
        <v>1383</v>
      </c>
      <c r="S134" s="6">
        <f t="shared" ref="S134:S197" si="154">B134-Q134</f>
        <v>36</v>
      </c>
      <c r="T134" s="6">
        <f>VLOOKUP(S134,nc,2,FALSE)</f>
        <v>409</v>
      </c>
      <c r="U134" s="6">
        <f t="shared" ref="U134:U193" si="155">Q134+R134+4*S134+T134</f>
        <v>2032</v>
      </c>
      <c r="V134" s="6"/>
      <c r="W134" s="6">
        <f t="shared" ref="W134:W193" si="156">N134-T134</f>
        <v>15</v>
      </c>
      <c r="X134" s="6">
        <f t="shared" ref="X134:X197" si="157">R134-L134-3</f>
        <v>15</v>
      </c>
      <c r="AE134" s="1">
        <f>AR133</f>
        <v>188941274</v>
      </c>
      <c r="AF134" t="s">
        <v>2</v>
      </c>
      <c r="AG134">
        <f>AE134-AH134</f>
        <v>136886433</v>
      </c>
      <c r="AH134">
        <f>AH133+1</f>
        <v>52054841</v>
      </c>
      <c r="AJ134">
        <f>INDEX($AU$22:$AU133,MATCH(AG134+1,$AT$22:$AT133,1))</f>
        <v>62</v>
      </c>
      <c r="AK134">
        <f t="shared" si="137"/>
        <v>60</v>
      </c>
      <c r="AL134">
        <f>INDEX($AT$22:$AT133,MATCH(AK134,$AU$22:$AU133,1))</f>
        <v>71850129</v>
      </c>
      <c r="AM134">
        <f t="shared" ref="AM134" si="158">AG134+AL134</f>
        <v>208736562</v>
      </c>
      <c r="AT134">
        <f>AE134</f>
        <v>188941274</v>
      </c>
      <c r="AU134">
        <f>AU133+1</f>
        <v>63</v>
      </c>
      <c r="AV134" s="1">
        <f>(AE134-AE133-1)*AU133+AU134+AV133</f>
        <v>11217508035</v>
      </c>
    </row>
    <row r="135" spans="2:52" x14ac:dyDescent="0.25">
      <c r="B135">
        <f t="shared" si="143"/>
        <v>133</v>
      </c>
      <c r="C135">
        <f t="shared" si="148"/>
        <v>2051</v>
      </c>
      <c r="D135" s="6">
        <f t="shared" si="149"/>
        <v>95</v>
      </c>
      <c r="E135">
        <f t="shared" si="145"/>
        <v>38</v>
      </c>
      <c r="F135">
        <f t="shared" si="146"/>
        <v>19</v>
      </c>
      <c r="H135">
        <f>VLOOKUP(D135+1,nc,5,TRUE)</f>
        <v>18</v>
      </c>
      <c r="I135">
        <f>VLOOKUP(E135,nc,5,TRUE)</f>
        <v>15</v>
      </c>
      <c r="K135">
        <f t="shared" si="150"/>
        <v>95</v>
      </c>
      <c r="L135">
        <f>VLOOKUP(K135,nc,2,FALSE)</f>
        <v>1365</v>
      </c>
      <c r="M135">
        <f t="shared" si="151"/>
        <v>38</v>
      </c>
      <c r="N135">
        <f>VLOOKUP(M135,nc,2,FALSE)</f>
        <v>439</v>
      </c>
      <c r="O135">
        <f t="shared" si="152"/>
        <v>2051</v>
      </c>
      <c r="Q135">
        <f t="shared" si="153"/>
        <v>96</v>
      </c>
      <c r="R135">
        <f>VLOOKUP(Q135,nc,2,FALSE)</f>
        <v>1383</v>
      </c>
      <c r="S135">
        <f t="shared" si="154"/>
        <v>37</v>
      </c>
      <c r="T135">
        <f>VLOOKUP(S135,nc,2,FALSE)</f>
        <v>424</v>
      </c>
      <c r="U135">
        <f t="shared" si="155"/>
        <v>2051</v>
      </c>
      <c r="W135">
        <f t="shared" si="156"/>
        <v>15</v>
      </c>
      <c r="X135">
        <f t="shared" si="157"/>
        <v>15</v>
      </c>
      <c r="AE135" s="1">
        <f>AM134</f>
        <v>208736562</v>
      </c>
      <c r="AF135" t="s">
        <v>3</v>
      </c>
      <c r="AG135">
        <f>AG134+1</f>
        <v>136886434</v>
      </c>
      <c r="AH135">
        <f>AE135-AG135</f>
        <v>71850128</v>
      </c>
      <c r="AO135">
        <f>INDEX($AU$22:$AU134,MATCH(AH135+1,$AT$22:$AT134,1))</f>
        <v>60</v>
      </c>
      <c r="AP135">
        <f t="shared" si="139"/>
        <v>63</v>
      </c>
      <c r="AQ135">
        <f>INDEX($AT$22:$AT134,MATCH(AP135,$AU$22:$AU134,1))</f>
        <v>188941274</v>
      </c>
      <c r="AR135">
        <f t="shared" ref="AR135" si="159">AQ135+AH135</f>
        <v>260791402</v>
      </c>
      <c r="AT135">
        <f>AT134</f>
        <v>188941274</v>
      </c>
      <c r="AU135">
        <f>AU134</f>
        <v>63</v>
      </c>
      <c r="AV135" s="1">
        <f>(AE135-AE134-1)*AU134+AU135+AV134</f>
        <v>12464611179</v>
      </c>
    </row>
    <row r="136" spans="2:52" x14ac:dyDescent="0.25">
      <c r="B136">
        <f t="shared" si="143"/>
        <v>134</v>
      </c>
      <c r="C136">
        <f t="shared" si="148"/>
        <v>2070</v>
      </c>
      <c r="D136" s="6">
        <f t="shared" si="149"/>
        <v>95</v>
      </c>
      <c r="E136">
        <f t="shared" si="145"/>
        <v>39</v>
      </c>
      <c r="F136">
        <f t="shared" si="146"/>
        <v>19</v>
      </c>
      <c r="H136">
        <f>VLOOKUP(D136+1,nc,5,TRUE)</f>
        <v>18</v>
      </c>
      <c r="I136">
        <f>VLOOKUP(E136,nc,5,TRUE)</f>
        <v>15</v>
      </c>
      <c r="K136">
        <f t="shared" si="150"/>
        <v>95</v>
      </c>
      <c r="L136">
        <f>VLOOKUP(K136,nc,2,FALSE)</f>
        <v>1365</v>
      </c>
      <c r="M136">
        <f t="shared" si="151"/>
        <v>39</v>
      </c>
      <c r="N136">
        <f>VLOOKUP(M136,nc,2,FALSE)</f>
        <v>454</v>
      </c>
      <c r="O136">
        <f t="shared" si="152"/>
        <v>2070</v>
      </c>
      <c r="Q136">
        <f t="shared" si="153"/>
        <v>96</v>
      </c>
      <c r="R136">
        <f>VLOOKUP(Q136,nc,2,FALSE)</f>
        <v>1383</v>
      </c>
      <c r="S136">
        <f t="shared" si="154"/>
        <v>38</v>
      </c>
      <c r="T136">
        <f>VLOOKUP(S136,nc,2,FALSE)</f>
        <v>439</v>
      </c>
      <c r="U136">
        <f t="shared" si="155"/>
        <v>2070</v>
      </c>
      <c r="W136">
        <f t="shared" si="156"/>
        <v>15</v>
      </c>
      <c r="X136">
        <f t="shared" si="157"/>
        <v>15</v>
      </c>
      <c r="AE136" s="1">
        <f>AR135</f>
        <v>260791402</v>
      </c>
      <c r="AF136" t="s">
        <v>2</v>
      </c>
      <c r="AG136">
        <f>AE136-AH136</f>
        <v>188941273</v>
      </c>
      <c r="AH136">
        <f>AH135+1</f>
        <v>71850129</v>
      </c>
      <c r="AJ136">
        <f>INDEX($AU$22:$AU135,MATCH(AG136+1,$AT$22:$AT135,1))</f>
        <v>63</v>
      </c>
      <c r="AK136">
        <f t="shared" si="137"/>
        <v>61</v>
      </c>
      <c r="AL136">
        <f>INDEX($AT$22:$AT135,MATCH(AK136,$AU$22:$AU135,1))</f>
        <v>99173121</v>
      </c>
      <c r="AM136">
        <f t="shared" ref="AM136" si="160">AG136+AL136</f>
        <v>288114394</v>
      </c>
      <c r="AT136">
        <f>AE136</f>
        <v>260791402</v>
      </c>
      <c r="AU136">
        <f>AU135+1</f>
        <v>64</v>
      </c>
      <c r="AV136" s="1">
        <f>(AE136-AE135-1)*AU135+AU136+AV135</f>
        <v>15744066100</v>
      </c>
    </row>
    <row r="137" spans="2:52" x14ac:dyDescent="0.25">
      <c r="B137">
        <f t="shared" si="143"/>
        <v>135</v>
      </c>
      <c r="C137">
        <f t="shared" si="148"/>
        <v>2089</v>
      </c>
      <c r="D137" s="6">
        <f t="shared" si="149"/>
        <v>95</v>
      </c>
      <c r="E137">
        <f t="shared" si="145"/>
        <v>40</v>
      </c>
      <c r="F137">
        <f t="shared" si="146"/>
        <v>19</v>
      </c>
      <c r="H137">
        <f>VLOOKUP(D137+1,nc,5,TRUE)</f>
        <v>18</v>
      </c>
      <c r="I137">
        <f>VLOOKUP(E137,nc,5,TRUE)</f>
        <v>15</v>
      </c>
      <c r="K137">
        <f t="shared" si="150"/>
        <v>95</v>
      </c>
      <c r="L137">
        <f>VLOOKUP(K137,nc,2,FALSE)</f>
        <v>1365</v>
      </c>
      <c r="M137">
        <f t="shared" si="151"/>
        <v>40</v>
      </c>
      <c r="N137">
        <f>VLOOKUP(M137,nc,2,FALSE)</f>
        <v>469</v>
      </c>
      <c r="O137">
        <f t="shared" si="152"/>
        <v>2089</v>
      </c>
      <c r="Q137">
        <f t="shared" si="153"/>
        <v>96</v>
      </c>
      <c r="R137">
        <f>VLOOKUP(Q137,nc,2,FALSE)</f>
        <v>1383</v>
      </c>
      <c r="S137">
        <f t="shared" si="154"/>
        <v>39</v>
      </c>
      <c r="T137">
        <f>VLOOKUP(S137,nc,2,FALSE)</f>
        <v>454</v>
      </c>
      <c r="U137">
        <f t="shared" si="155"/>
        <v>2089</v>
      </c>
      <c r="W137">
        <f t="shared" si="156"/>
        <v>15</v>
      </c>
      <c r="X137">
        <f t="shared" si="157"/>
        <v>15</v>
      </c>
      <c r="AE137" s="1">
        <f>AM136</f>
        <v>288114394</v>
      </c>
      <c r="AF137" t="s">
        <v>3</v>
      </c>
      <c r="AG137">
        <f>AG136+1</f>
        <v>188941274</v>
      </c>
      <c r="AH137">
        <f>AE137-AG137</f>
        <v>99173120</v>
      </c>
      <c r="AO137">
        <f>INDEX($AU$22:$AU136,MATCH(AH137+1,$AT$22:$AT136,1))</f>
        <v>61</v>
      </c>
      <c r="AP137">
        <f t="shared" si="139"/>
        <v>64</v>
      </c>
      <c r="AQ137">
        <f>INDEX($AT$22:$AT136,MATCH(AP137,$AU$22:$AU136,1))</f>
        <v>260791402</v>
      </c>
      <c r="AR137">
        <f t="shared" ref="AR137" si="161">AQ137+AH137</f>
        <v>359964522</v>
      </c>
      <c r="AT137">
        <f>AT136</f>
        <v>260791402</v>
      </c>
      <c r="AU137">
        <f>AU136</f>
        <v>64</v>
      </c>
      <c r="AV137" s="1">
        <f>(AE137-AE136-1)*AU136+AU137+AV136</f>
        <v>17492737588</v>
      </c>
    </row>
    <row r="138" spans="2:52" x14ac:dyDescent="0.25">
      <c r="B138">
        <f t="shared" si="143"/>
        <v>136</v>
      </c>
      <c r="C138">
        <f t="shared" si="148"/>
        <v>2108</v>
      </c>
      <c r="D138" s="6">
        <f t="shared" si="149"/>
        <v>95</v>
      </c>
      <c r="E138">
        <f t="shared" si="145"/>
        <v>41</v>
      </c>
      <c r="F138">
        <f t="shared" si="146"/>
        <v>19</v>
      </c>
      <c r="H138">
        <f>VLOOKUP(D138+1,nc,5,TRUE)</f>
        <v>18</v>
      </c>
      <c r="I138">
        <f>VLOOKUP(E138,nc,5,TRUE)</f>
        <v>15</v>
      </c>
      <c r="K138">
        <f t="shared" si="150"/>
        <v>95</v>
      </c>
      <c r="L138">
        <f>VLOOKUP(K138,nc,2,FALSE)</f>
        <v>1365</v>
      </c>
      <c r="M138">
        <f t="shared" si="151"/>
        <v>41</v>
      </c>
      <c r="N138">
        <f>VLOOKUP(M138,nc,2,FALSE)</f>
        <v>484</v>
      </c>
      <c r="O138">
        <f t="shared" si="152"/>
        <v>2108</v>
      </c>
      <c r="Q138">
        <f t="shared" si="153"/>
        <v>96</v>
      </c>
      <c r="R138">
        <f>VLOOKUP(Q138,nc,2,FALSE)</f>
        <v>1383</v>
      </c>
      <c r="S138">
        <f t="shared" si="154"/>
        <v>40</v>
      </c>
      <c r="T138">
        <f>VLOOKUP(S138,nc,2,FALSE)</f>
        <v>469</v>
      </c>
      <c r="U138">
        <f t="shared" si="155"/>
        <v>2108</v>
      </c>
      <c r="W138">
        <f t="shared" si="156"/>
        <v>15</v>
      </c>
      <c r="X138">
        <f t="shared" si="157"/>
        <v>15</v>
      </c>
      <c r="AE138" s="1">
        <f>AR137</f>
        <v>359964522</v>
      </c>
      <c r="AF138" t="s">
        <v>2</v>
      </c>
      <c r="AG138">
        <f>AE138-AH138</f>
        <v>260791401</v>
      </c>
      <c r="AH138">
        <f>AH137+1</f>
        <v>99173121</v>
      </c>
      <c r="AJ138">
        <f>INDEX($AU$22:$AU137,MATCH(AG138+1,$AT$22:$AT137,1))</f>
        <v>64</v>
      </c>
      <c r="AK138">
        <f t="shared" si="137"/>
        <v>62</v>
      </c>
      <c r="AL138">
        <f>INDEX($AT$22:$AT137,MATCH(AK138,$AU$22:$AU137,1))</f>
        <v>136886434</v>
      </c>
      <c r="AM138">
        <f t="shared" ref="AM138" si="162">AG138+AL138</f>
        <v>397677835</v>
      </c>
      <c r="AT138">
        <f>AE138</f>
        <v>359964522</v>
      </c>
      <c r="AU138">
        <f>AU137+1</f>
        <v>65</v>
      </c>
      <c r="AV138" s="1">
        <f>(AE138-AE137-1)*AU137+AU138+AV137</f>
        <v>22091145781</v>
      </c>
    </row>
    <row r="139" spans="2:52" x14ac:dyDescent="0.25">
      <c r="B139">
        <f t="shared" si="143"/>
        <v>137</v>
      </c>
      <c r="C139">
        <f t="shared" si="148"/>
        <v>2127</v>
      </c>
      <c r="D139" s="6">
        <f t="shared" si="149"/>
        <v>95</v>
      </c>
      <c r="E139">
        <f t="shared" si="145"/>
        <v>42</v>
      </c>
      <c r="F139">
        <f t="shared" si="146"/>
        <v>19</v>
      </c>
      <c r="H139">
        <f>VLOOKUP(D139+1,nc,5,TRUE)</f>
        <v>18</v>
      </c>
      <c r="I139">
        <f>VLOOKUP(E139,nc,5,TRUE)</f>
        <v>15</v>
      </c>
      <c r="K139">
        <f t="shared" si="150"/>
        <v>95</v>
      </c>
      <c r="L139">
        <f>VLOOKUP(K139,nc,2,FALSE)</f>
        <v>1365</v>
      </c>
      <c r="M139">
        <f t="shared" si="151"/>
        <v>42</v>
      </c>
      <c r="N139">
        <f>VLOOKUP(M139,nc,2,FALSE)</f>
        <v>499</v>
      </c>
      <c r="O139">
        <f t="shared" si="152"/>
        <v>2127</v>
      </c>
      <c r="Q139">
        <f t="shared" si="153"/>
        <v>96</v>
      </c>
      <c r="R139">
        <f>VLOOKUP(Q139,nc,2,FALSE)</f>
        <v>1383</v>
      </c>
      <c r="S139">
        <f t="shared" si="154"/>
        <v>41</v>
      </c>
      <c r="T139">
        <f>VLOOKUP(S139,nc,2,FALSE)</f>
        <v>484</v>
      </c>
      <c r="U139">
        <f t="shared" si="155"/>
        <v>2127</v>
      </c>
      <c r="W139">
        <f t="shared" si="156"/>
        <v>15</v>
      </c>
      <c r="X139">
        <f t="shared" si="157"/>
        <v>15</v>
      </c>
      <c r="AE139" s="1">
        <f>AM138</f>
        <v>397677835</v>
      </c>
      <c r="AF139" t="s">
        <v>3</v>
      </c>
      <c r="AG139">
        <f>AG138+1</f>
        <v>260791402</v>
      </c>
      <c r="AH139">
        <f>AE139-AG139</f>
        <v>136886433</v>
      </c>
      <c r="AO139">
        <f>INDEX($AU$22:$AU138,MATCH(AH139+1,$AT$22:$AT138,1))</f>
        <v>62</v>
      </c>
      <c r="AP139">
        <f t="shared" si="139"/>
        <v>65</v>
      </c>
      <c r="AQ139">
        <f>INDEX($AT$22:$AT138,MATCH(AP139,$AU$22:$AU138,1))</f>
        <v>359964522</v>
      </c>
      <c r="AR139">
        <f t="shared" ref="AR139" si="163">AQ139+AH139</f>
        <v>496850955</v>
      </c>
      <c r="AT139">
        <f>AT138</f>
        <v>359964522</v>
      </c>
      <c r="AU139">
        <f>AU138</f>
        <v>65</v>
      </c>
      <c r="AV139" s="1">
        <f>(AE139-AE138-1)*AU138+AU139+AV138</f>
        <v>24542511126</v>
      </c>
    </row>
    <row r="140" spans="2:52" x14ac:dyDescent="0.25">
      <c r="B140">
        <f t="shared" si="143"/>
        <v>138</v>
      </c>
      <c r="C140">
        <f t="shared" si="148"/>
        <v>2146</v>
      </c>
      <c r="D140" s="6">
        <f t="shared" si="149"/>
        <v>95</v>
      </c>
      <c r="E140">
        <f t="shared" si="145"/>
        <v>43</v>
      </c>
      <c r="F140">
        <f t="shared" si="146"/>
        <v>19</v>
      </c>
      <c r="H140">
        <f>VLOOKUP(D140+1,nc,5,TRUE)</f>
        <v>18</v>
      </c>
      <c r="I140">
        <f>VLOOKUP(E140,nc,5,TRUE)</f>
        <v>15</v>
      </c>
      <c r="K140">
        <f t="shared" si="150"/>
        <v>95</v>
      </c>
      <c r="L140">
        <f>VLOOKUP(K140,nc,2,FALSE)</f>
        <v>1365</v>
      </c>
      <c r="M140">
        <f t="shared" si="151"/>
        <v>43</v>
      </c>
      <c r="N140">
        <f>VLOOKUP(M140,nc,2,FALSE)</f>
        <v>514</v>
      </c>
      <c r="O140">
        <f t="shared" si="152"/>
        <v>2146</v>
      </c>
      <c r="Q140">
        <f t="shared" si="153"/>
        <v>96</v>
      </c>
      <c r="R140">
        <f>VLOOKUP(Q140,nc,2,FALSE)</f>
        <v>1383</v>
      </c>
      <c r="S140">
        <f t="shared" si="154"/>
        <v>42</v>
      </c>
      <c r="T140">
        <f>VLOOKUP(S140,nc,2,FALSE)</f>
        <v>499</v>
      </c>
      <c r="U140">
        <f t="shared" si="155"/>
        <v>2146</v>
      </c>
      <c r="W140">
        <f t="shared" si="156"/>
        <v>15</v>
      </c>
      <c r="X140">
        <f t="shared" si="157"/>
        <v>15</v>
      </c>
      <c r="AE140" s="1">
        <f>AR139</f>
        <v>496850955</v>
      </c>
      <c r="AF140" t="s">
        <v>2</v>
      </c>
      <c r="AG140">
        <f>AE140-AH140</f>
        <v>359964521</v>
      </c>
      <c r="AH140">
        <f>AH139+1</f>
        <v>136886434</v>
      </c>
      <c r="AJ140">
        <f>INDEX($AU$22:$AU139,MATCH(AG140+1,$AT$22:$AT139,1))</f>
        <v>65</v>
      </c>
      <c r="AK140">
        <f t="shared" ref="AK140:AK142" si="164">AJ140-2</f>
        <v>63</v>
      </c>
      <c r="AL140">
        <f>INDEX($AT$22:$AT139,MATCH(AK140,$AU$22:$AU139,1))</f>
        <v>188941274</v>
      </c>
      <c r="AM140">
        <f t="shared" ref="AM140" si="165">AG140+AL140</f>
        <v>548905795</v>
      </c>
      <c r="AT140">
        <f>AE140</f>
        <v>496850955</v>
      </c>
      <c r="AU140">
        <f>AU139+1</f>
        <v>66</v>
      </c>
      <c r="AV140" s="1">
        <f>(AE140-AE139-1)*AU139+AU140+AV139</f>
        <v>30988763927</v>
      </c>
    </row>
    <row r="141" spans="2:52" x14ac:dyDescent="0.25">
      <c r="B141">
        <f t="shared" si="143"/>
        <v>139</v>
      </c>
      <c r="C141">
        <f t="shared" si="148"/>
        <v>2165</v>
      </c>
      <c r="D141" s="6">
        <f t="shared" si="149"/>
        <v>95</v>
      </c>
      <c r="E141">
        <f t="shared" si="145"/>
        <v>44</v>
      </c>
      <c r="F141">
        <f t="shared" si="146"/>
        <v>19</v>
      </c>
      <c r="H141">
        <f>VLOOKUP(D141+1,nc,5,TRUE)</f>
        <v>18</v>
      </c>
      <c r="I141">
        <f>VLOOKUP(E141,nc,5,TRUE)</f>
        <v>15</v>
      </c>
      <c r="K141">
        <f t="shared" si="150"/>
        <v>95</v>
      </c>
      <c r="L141">
        <f>VLOOKUP(K141,nc,2,FALSE)</f>
        <v>1365</v>
      </c>
      <c r="M141">
        <f t="shared" si="151"/>
        <v>44</v>
      </c>
      <c r="N141">
        <f>VLOOKUP(M141,nc,2,FALSE)</f>
        <v>529</v>
      </c>
      <c r="O141">
        <f t="shared" si="152"/>
        <v>2165</v>
      </c>
      <c r="Q141">
        <f t="shared" si="153"/>
        <v>96</v>
      </c>
      <c r="R141">
        <f>VLOOKUP(Q141,nc,2,FALSE)</f>
        <v>1383</v>
      </c>
      <c r="S141">
        <f t="shared" si="154"/>
        <v>43</v>
      </c>
      <c r="T141">
        <f>VLOOKUP(S141,nc,2,FALSE)</f>
        <v>514</v>
      </c>
      <c r="U141">
        <f t="shared" si="155"/>
        <v>2165</v>
      </c>
      <c r="W141">
        <f t="shared" si="156"/>
        <v>15</v>
      </c>
      <c r="X141">
        <f t="shared" si="157"/>
        <v>15</v>
      </c>
      <c r="AE141" s="1">
        <f>AM140</f>
        <v>548905795</v>
      </c>
      <c r="AF141" t="s">
        <v>3</v>
      </c>
      <c r="AG141">
        <f>AG140+1</f>
        <v>359964522</v>
      </c>
      <c r="AH141">
        <f>AE141-AG141</f>
        <v>188941273</v>
      </c>
      <c r="AO141">
        <f>INDEX($AU$22:$AU140,MATCH(AH141+1,$AT$22:$AT140,1))</f>
        <v>63</v>
      </c>
      <c r="AP141">
        <f t="shared" ref="AP141:AP143" si="166">AO141+3</f>
        <v>66</v>
      </c>
      <c r="AQ141">
        <f>INDEX($AT$22:$AT140,MATCH(AP141,$AU$22:$AU140,1))</f>
        <v>496850955</v>
      </c>
      <c r="AR141">
        <f t="shared" ref="AR141" si="167">AQ141+AH141</f>
        <v>685792228</v>
      </c>
      <c r="AT141">
        <f>AT140</f>
        <v>496850955</v>
      </c>
      <c r="AU141">
        <f>AU140</f>
        <v>66</v>
      </c>
      <c r="AV141" s="1">
        <f>(AE141-AE140-1)*AU140+AU141+AV140</f>
        <v>34424383367</v>
      </c>
    </row>
    <row r="142" spans="2:52" x14ac:dyDescent="0.25">
      <c r="B142">
        <f t="shared" si="143"/>
        <v>140</v>
      </c>
      <c r="C142">
        <f t="shared" si="148"/>
        <v>2184</v>
      </c>
      <c r="D142" s="6">
        <f t="shared" si="149"/>
        <v>95</v>
      </c>
      <c r="E142">
        <f t="shared" si="145"/>
        <v>45</v>
      </c>
      <c r="F142">
        <f t="shared" si="146"/>
        <v>19</v>
      </c>
      <c r="H142">
        <f>VLOOKUP(D142+1,nc,5,TRUE)</f>
        <v>18</v>
      </c>
      <c r="I142">
        <f>VLOOKUP(E142,nc,5,TRUE)</f>
        <v>15</v>
      </c>
      <c r="K142">
        <f t="shared" si="150"/>
        <v>95</v>
      </c>
      <c r="L142">
        <f>VLOOKUP(K142,nc,2,FALSE)</f>
        <v>1365</v>
      </c>
      <c r="M142">
        <f t="shared" si="151"/>
        <v>45</v>
      </c>
      <c r="N142">
        <f>VLOOKUP(M142,nc,2,FALSE)</f>
        <v>544</v>
      </c>
      <c r="O142">
        <f t="shared" si="152"/>
        <v>2184</v>
      </c>
      <c r="Q142">
        <f t="shared" si="153"/>
        <v>96</v>
      </c>
      <c r="R142">
        <f>VLOOKUP(Q142,nc,2,FALSE)</f>
        <v>1383</v>
      </c>
      <c r="S142">
        <f t="shared" si="154"/>
        <v>44</v>
      </c>
      <c r="T142">
        <f>VLOOKUP(S142,nc,2,FALSE)</f>
        <v>529</v>
      </c>
      <c r="U142">
        <f t="shared" si="155"/>
        <v>2184</v>
      </c>
      <c r="W142">
        <f t="shared" si="156"/>
        <v>15</v>
      </c>
      <c r="X142">
        <f t="shared" si="157"/>
        <v>15</v>
      </c>
      <c r="AE142" s="1">
        <f>AR141</f>
        <v>685792228</v>
      </c>
      <c r="AF142" t="s">
        <v>2</v>
      </c>
      <c r="AG142">
        <f>AE142-AH142</f>
        <v>496850954</v>
      </c>
      <c r="AH142">
        <f>AH141+1</f>
        <v>188941274</v>
      </c>
      <c r="AJ142">
        <f>INDEX($AU$22:$AU141,MATCH(AG142+1,$AT$22:$AT141,1))</f>
        <v>66</v>
      </c>
      <c r="AK142">
        <f t="shared" si="164"/>
        <v>64</v>
      </c>
      <c r="AL142">
        <f>INDEX($AT$22:$AT141,MATCH(AK142,$AU$22:$AU141,1))</f>
        <v>260791402</v>
      </c>
      <c r="AM142">
        <f t="shared" ref="AM142" si="168">AG142+AL142</f>
        <v>757642356</v>
      </c>
      <c r="AT142">
        <f>AE142</f>
        <v>685792228</v>
      </c>
      <c r="AU142">
        <f>AU141+1</f>
        <v>67</v>
      </c>
      <c r="AV142" s="1">
        <f>(AE142-AE141-1)*AU141+AU142+AV141</f>
        <v>43458887946</v>
      </c>
    </row>
    <row r="143" spans="2:52" x14ac:dyDescent="0.25">
      <c r="B143">
        <f t="shared" si="143"/>
        <v>141</v>
      </c>
      <c r="C143">
        <f t="shared" si="148"/>
        <v>2203</v>
      </c>
      <c r="D143" s="6">
        <f t="shared" si="149"/>
        <v>95</v>
      </c>
      <c r="E143">
        <f t="shared" si="145"/>
        <v>46</v>
      </c>
      <c r="F143">
        <f t="shared" si="146"/>
        <v>19</v>
      </c>
      <c r="H143">
        <f>VLOOKUP(D143+1,nc,5,TRUE)</f>
        <v>18</v>
      </c>
      <c r="I143">
        <f>VLOOKUP(E143,nc,5,TRUE)</f>
        <v>15</v>
      </c>
      <c r="K143">
        <f t="shared" si="150"/>
        <v>95</v>
      </c>
      <c r="L143">
        <f>VLOOKUP(K143,nc,2,FALSE)</f>
        <v>1365</v>
      </c>
      <c r="M143">
        <f t="shared" si="151"/>
        <v>46</v>
      </c>
      <c r="N143">
        <f>VLOOKUP(M143,nc,2,FALSE)</f>
        <v>559</v>
      </c>
      <c r="O143">
        <f t="shared" si="152"/>
        <v>2203</v>
      </c>
      <c r="Q143">
        <f t="shared" si="153"/>
        <v>96</v>
      </c>
      <c r="R143">
        <f>VLOOKUP(Q143,nc,2,FALSE)</f>
        <v>1383</v>
      </c>
      <c r="S143">
        <f t="shared" si="154"/>
        <v>45</v>
      </c>
      <c r="T143">
        <f>VLOOKUP(S143,nc,2,FALSE)</f>
        <v>544</v>
      </c>
      <c r="U143">
        <f t="shared" si="155"/>
        <v>2203</v>
      </c>
      <c r="W143">
        <f t="shared" si="156"/>
        <v>15</v>
      </c>
      <c r="X143">
        <f t="shared" si="157"/>
        <v>15</v>
      </c>
      <c r="AE143" s="1">
        <f>AM142</f>
        <v>757642356</v>
      </c>
      <c r="AF143" t="s">
        <v>3</v>
      </c>
      <c r="AG143">
        <f>AG142+1</f>
        <v>496850955</v>
      </c>
      <c r="AH143">
        <f>AE143-AG143</f>
        <v>260791401</v>
      </c>
      <c r="AO143">
        <f>INDEX($AU$22:$AU142,MATCH(AH143+1,$AT$22:$AT142,1))</f>
        <v>64</v>
      </c>
      <c r="AP143">
        <f t="shared" si="166"/>
        <v>67</v>
      </c>
      <c r="AQ143">
        <f>INDEX($AT$22:$AT142,MATCH(AP143,$AU$22:$AU142,1))</f>
        <v>685792228</v>
      </c>
      <c r="AR143">
        <f t="shared" ref="AR143" si="169">AQ143+AH143</f>
        <v>946583629</v>
      </c>
      <c r="AT143">
        <f>AT142</f>
        <v>685792228</v>
      </c>
      <c r="AU143">
        <f>AU142</f>
        <v>67</v>
      </c>
      <c r="AV143" s="1">
        <f>(AE143-AE142-1)*AU142+AU143+AV142</f>
        <v>48272846522</v>
      </c>
    </row>
    <row r="144" spans="2:52" x14ac:dyDescent="0.25">
      <c r="B144">
        <f t="shared" si="143"/>
        <v>142</v>
      </c>
      <c r="C144">
        <f t="shared" si="148"/>
        <v>2222</v>
      </c>
      <c r="D144" s="6">
        <f t="shared" si="149"/>
        <v>95</v>
      </c>
      <c r="E144">
        <f t="shared" si="145"/>
        <v>47</v>
      </c>
      <c r="F144">
        <f t="shared" si="146"/>
        <v>19</v>
      </c>
      <c r="H144">
        <f>VLOOKUP(D144+1,nc,5,TRUE)</f>
        <v>18</v>
      </c>
      <c r="I144">
        <f>VLOOKUP(E144,nc,5,TRUE)</f>
        <v>15</v>
      </c>
      <c r="K144">
        <f t="shared" si="150"/>
        <v>95</v>
      </c>
      <c r="L144">
        <f>VLOOKUP(K144,nc,2,FALSE)</f>
        <v>1365</v>
      </c>
      <c r="M144">
        <f t="shared" si="151"/>
        <v>47</v>
      </c>
      <c r="N144">
        <f>VLOOKUP(M144,nc,2,FALSE)</f>
        <v>574</v>
      </c>
      <c r="O144">
        <f t="shared" si="152"/>
        <v>2222</v>
      </c>
      <c r="Q144">
        <f t="shared" si="153"/>
        <v>96</v>
      </c>
      <c r="R144">
        <f>VLOOKUP(Q144,nc,2,FALSE)</f>
        <v>1383</v>
      </c>
      <c r="S144">
        <f t="shared" si="154"/>
        <v>46</v>
      </c>
      <c r="T144">
        <f>VLOOKUP(S144,nc,2,FALSE)</f>
        <v>559</v>
      </c>
      <c r="U144">
        <f t="shared" si="155"/>
        <v>2222</v>
      </c>
      <c r="W144">
        <f t="shared" si="156"/>
        <v>15</v>
      </c>
      <c r="X144">
        <f t="shared" si="157"/>
        <v>15</v>
      </c>
      <c r="AE144" s="1">
        <f>AR143</f>
        <v>946583629</v>
      </c>
      <c r="AF144" t="s">
        <v>2</v>
      </c>
      <c r="AG144">
        <f>AE144-AH144</f>
        <v>685792227</v>
      </c>
      <c r="AH144">
        <f>AH143+1</f>
        <v>260791402</v>
      </c>
      <c r="AJ144">
        <f>INDEX($AU$22:$AU143,MATCH(AG144+1,$AT$22:$AT143,1))</f>
        <v>67</v>
      </c>
      <c r="AK144">
        <f t="shared" ref="AK144:AK154" si="170">AJ144-2</f>
        <v>65</v>
      </c>
      <c r="AL144">
        <f>INDEX($AT$22:$AT143,MATCH(AK144,$AU$22:$AU143,1))</f>
        <v>359964522</v>
      </c>
      <c r="AM144">
        <f t="shared" ref="AM144" si="171">AG144+AL144</f>
        <v>1045756749</v>
      </c>
      <c r="AT144">
        <f>AE144</f>
        <v>946583629</v>
      </c>
      <c r="AU144">
        <f>AU143+1</f>
        <v>68</v>
      </c>
      <c r="AV144" s="1">
        <f>(AE144-AE143-1)*AU143+AU144+AV143</f>
        <v>60931911814</v>
      </c>
      <c r="AX144" t="s">
        <v>25</v>
      </c>
      <c r="AY144" t="s">
        <v>26</v>
      </c>
      <c r="AZ144" s="2" t="s">
        <v>27</v>
      </c>
    </row>
    <row r="145" spans="2:52" x14ac:dyDescent="0.25">
      <c r="B145">
        <f t="shared" si="143"/>
        <v>143</v>
      </c>
      <c r="C145">
        <f t="shared" si="148"/>
        <v>2241</v>
      </c>
      <c r="D145" s="6">
        <f t="shared" si="149"/>
        <v>95</v>
      </c>
      <c r="E145">
        <f t="shared" si="145"/>
        <v>48</v>
      </c>
      <c r="F145">
        <f t="shared" si="146"/>
        <v>19</v>
      </c>
      <c r="H145">
        <f>VLOOKUP(D145+1,nc,5,TRUE)</f>
        <v>18</v>
      </c>
      <c r="I145">
        <f>VLOOKUP(E145,nc,5,TRUE)</f>
        <v>15</v>
      </c>
      <c r="K145">
        <f t="shared" si="150"/>
        <v>95</v>
      </c>
      <c r="L145">
        <f>VLOOKUP(K145,nc,2,FALSE)</f>
        <v>1365</v>
      </c>
      <c r="M145">
        <f t="shared" si="151"/>
        <v>48</v>
      </c>
      <c r="N145">
        <f>VLOOKUP(M145,nc,2,FALSE)</f>
        <v>589</v>
      </c>
      <c r="O145">
        <f t="shared" si="152"/>
        <v>2241</v>
      </c>
      <c r="Q145">
        <f t="shared" si="153"/>
        <v>96</v>
      </c>
      <c r="R145">
        <f>VLOOKUP(Q145,nc,2,FALSE)</f>
        <v>1383</v>
      </c>
      <c r="S145">
        <f t="shared" si="154"/>
        <v>47</v>
      </c>
      <c r="T145">
        <f>VLOOKUP(S145,nc,2,FALSE)</f>
        <v>574</v>
      </c>
      <c r="U145">
        <f t="shared" si="155"/>
        <v>2241</v>
      </c>
      <c r="W145">
        <f t="shared" si="156"/>
        <v>15</v>
      </c>
      <c r="X145">
        <f t="shared" si="157"/>
        <v>15</v>
      </c>
      <c r="AE145" s="1">
        <f>AM144</f>
        <v>1045756749</v>
      </c>
      <c r="AF145" t="s">
        <v>3</v>
      </c>
      <c r="AG145">
        <f>AG144+1</f>
        <v>685792228</v>
      </c>
      <c r="AH145">
        <f>AE145-AG145</f>
        <v>359964521</v>
      </c>
      <c r="AO145">
        <f>INDEX($AU$22:$AU144,MATCH(AH145+1,$AT$22:$AT144,1))</f>
        <v>65</v>
      </c>
      <c r="AP145">
        <f t="shared" ref="AP145:AP155" si="172">AO145+3</f>
        <v>68</v>
      </c>
      <c r="AQ145">
        <f>INDEX($AT$22:$AT144,MATCH(AP145,$AU$22:$AU144,1))</f>
        <v>946583629</v>
      </c>
      <c r="AR145">
        <f t="shared" ref="AR145" si="173">AQ145+AH145</f>
        <v>1306548150</v>
      </c>
      <c r="AT145">
        <f>AT144</f>
        <v>946583629</v>
      </c>
      <c r="AU145">
        <f>AU144</f>
        <v>68</v>
      </c>
      <c r="AV145" s="1">
        <f>(AE145-AE144-1)*AU144+AU145+AV144</f>
        <v>67675683974</v>
      </c>
      <c r="AX145" s="1">
        <f>10^9</f>
        <v>1000000000</v>
      </c>
      <c r="AY145" s="1">
        <f>(AX145-AE144-1)*AU144+AU145+AV144</f>
        <v>64564225042</v>
      </c>
      <c r="AZ145" s="7">
        <f>AY145</f>
        <v>64564225042</v>
      </c>
    </row>
    <row r="146" spans="2:52" x14ac:dyDescent="0.25">
      <c r="B146">
        <f t="shared" si="143"/>
        <v>144</v>
      </c>
      <c r="C146">
        <f t="shared" si="148"/>
        <v>2260</v>
      </c>
      <c r="D146" s="6">
        <f t="shared" si="149"/>
        <v>95</v>
      </c>
      <c r="E146">
        <f t="shared" si="145"/>
        <v>49</v>
      </c>
      <c r="F146">
        <f t="shared" si="146"/>
        <v>19</v>
      </c>
      <c r="H146">
        <f>VLOOKUP(D146+1,nc,5,TRUE)</f>
        <v>18</v>
      </c>
      <c r="I146">
        <f>VLOOKUP(E146,nc,5,TRUE)</f>
        <v>15</v>
      </c>
      <c r="K146">
        <f t="shared" si="150"/>
        <v>95</v>
      </c>
      <c r="L146">
        <f>VLOOKUP(K146,nc,2,FALSE)</f>
        <v>1365</v>
      </c>
      <c r="M146">
        <f t="shared" si="151"/>
        <v>49</v>
      </c>
      <c r="N146">
        <f>VLOOKUP(M146,nc,2,FALSE)</f>
        <v>604</v>
      </c>
      <c r="O146">
        <f t="shared" si="152"/>
        <v>2260</v>
      </c>
      <c r="Q146">
        <f t="shared" si="153"/>
        <v>96</v>
      </c>
      <c r="R146">
        <f>VLOOKUP(Q146,nc,2,FALSE)</f>
        <v>1383</v>
      </c>
      <c r="S146">
        <f t="shared" si="154"/>
        <v>48</v>
      </c>
      <c r="T146">
        <f>VLOOKUP(S146,nc,2,FALSE)</f>
        <v>589</v>
      </c>
      <c r="U146">
        <f t="shared" si="155"/>
        <v>2260</v>
      </c>
      <c r="W146">
        <f t="shared" si="156"/>
        <v>15</v>
      </c>
      <c r="X146">
        <f t="shared" si="157"/>
        <v>15</v>
      </c>
      <c r="AE146" s="1">
        <f>AR145</f>
        <v>1306548150</v>
      </c>
      <c r="AF146" t="s">
        <v>2</v>
      </c>
      <c r="AG146">
        <f>AE146-AH146</f>
        <v>946583628</v>
      </c>
      <c r="AH146">
        <f>AH145+1</f>
        <v>359964522</v>
      </c>
      <c r="AJ146">
        <f>INDEX($AU$22:$AU145,MATCH(AG146+1,$AT$22:$AT145,1))</f>
        <v>68</v>
      </c>
      <c r="AK146">
        <f t="shared" si="170"/>
        <v>66</v>
      </c>
      <c r="AL146">
        <f>INDEX($AT$22:$AT145,MATCH(AK146,$AU$22:$AU145,1))</f>
        <v>496850955</v>
      </c>
      <c r="AM146">
        <f t="shared" ref="AM146" si="174">AG146+AL146</f>
        <v>1443434583</v>
      </c>
      <c r="AT146">
        <f>AE146</f>
        <v>1306548150</v>
      </c>
      <c r="AU146">
        <f>AU145+1</f>
        <v>69</v>
      </c>
      <c r="AV146" s="1">
        <f>(AE146-AE145-1)*AU145+AU146+AV145</f>
        <v>85409499243</v>
      </c>
    </row>
    <row r="147" spans="2:52" x14ac:dyDescent="0.25">
      <c r="B147">
        <f t="shared" si="143"/>
        <v>145</v>
      </c>
      <c r="C147">
        <f t="shared" si="148"/>
        <v>2279</v>
      </c>
      <c r="D147" s="6">
        <f t="shared" si="149"/>
        <v>95</v>
      </c>
      <c r="E147">
        <f t="shared" si="145"/>
        <v>50</v>
      </c>
      <c r="F147">
        <f t="shared" si="146"/>
        <v>19</v>
      </c>
      <c r="H147">
        <f>VLOOKUP(D147+1,nc,5,TRUE)</f>
        <v>18</v>
      </c>
      <c r="I147">
        <f>VLOOKUP(E147,nc,5,TRUE)</f>
        <v>15</v>
      </c>
      <c r="K147">
        <f t="shared" si="150"/>
        <v>95</v>
      </c>
      <c r="L147">
        <f>VLOOKUP(K147,nc,2,FALSE)</f>
        <v>1365</v>
      </c>
      <c r="M147">
        <f t="shared" si="151"/>
        <v>50</v>
      </c>
      <c r="N147">
        <f>VLOOKUP(M147,nc,2,FALSE)</f>
        <v>619</v>
      </c>
      <c r="O147">
        <f t="shared" si="152"/>
        <v>2279</v>
      </c>
      <c r="Q147">
        <f t="shared" si="153"/>
        <v>96</v>
      </c>
      <c r="R147">
        <f>VLOOKUP(Q147,nc,2,FALSE)</f>
        <v>1383</v>
      </c>
      <c r="S147">
        <f t="shared" si="154"/>
        <v>49</v>
      </c>
      <c r="T147">
        <f>VLOOKUP(S147,nc,2,FALSE)</f>
        <v>604</v>
      </c>
      <c r="U147">
        <f t="shared" si="155"/>
        <v>2279</v>
      </c>
      <c r="W147">
        <f t="shared" si="156"/>
        <v>15</v>
      </c>
      <c r="X147">
        <f t="shared" si="157"/>
        <v>15</v>
      </c>
      <c r="AE147" s="1">
        <f>AM146</f>
        <v>1443434583</v>
      </c>
      <c r="AF147" t="s">
        <v>3</v>
      </c>
      <c r="AG147">
        <f>AG146+1</f>
        <v>946583629</v>
      </c>
      <c r="AH147">
        <f>AE147-AG147</f>
        <v>496850954</v>
      </c>
      <c r="AO147">
        <f>INDEX($AU$22:$AU146,MATCH(AH147+1,$AT$22:$AT146,1))</f>
        <v>66</v>
      </c>
      <c r="AP147">
        <f t="shared" si="172"/>
        <v>69</v>
      </c>
      <c r="AQ147">
        <f>INDEX($AT$22:$AT146,MATCH(AP147,$AU$22:$AU146,1))</f>
        <v>1306548150</v>
      </c>
      <c r="AR147">
        <f t="shared" ref="AR147" si="175">AQ147+AH147</f>
        <v>1803399104</v>
      </c>
      <c r="AT147">
        <f>AT146</f>
        <v>1306548150</v>
      </c>
      <c r="AU147">
        <f>AU146</f>
        <v>69</v>
      </c>
      <c r="AV147" s="1">
        <f>(AE147-AE146-1)*AU146+AU147+AV146</f>
        <v>94854663120</v>
      </c>
    </row>
    <row r="148" spans="2:52" x14ac:dyDescent="0.25">
      <c r="B148" s="6">
        <f t="shared" si="143"/>
        <v>146</v>
      </c>
      <c r="C148" s="6">
        <f t="shared" si="148"/>
        <v>2298</v>
      </c>
      <c r="D148" s="6">
        <f t="shared" si="149"/>
        <v>96</v>
      </c>
      <c r="E148" s="6">
        <f t="shared" si="145"/>
        <v>50</v>
      </c>
      <c r="F148" s="6">
        <f t="shared" si="146"/>
        <v>19</v>
      </c>
      <c r="G148" s="6"/>
      <c r="H148" s="6">
        <f>VLOOKUP(D148+1,nc,5,TRUE)</f>
        <v>18</v>
      </c>
      <c r="I148" s="6">
        <f>VLOOKUP(E148,nc,5,TRUE)</f>
        <v>15</v>
      </c>
      <c r="J148" s="6"/>
      <c r="K148" s="6">
        <f t="shared" si="150"/>
        <v>95</v>
      </c>
      <c r="L148" s="6">
        <f>VLOOKUP(K148,nc,2,FALSE)</f>
        <v>1365</v>
      </c>
      <c r="M148" s="6">
        <f t="shared" si="151"/>
        <v>51</v>
      </c>
      <c r="N148" s="6">
        <f>VLOOKUP(M148,nc,2,FALSE)</f>
        <v>635</v>
      </c>
      <c r="O148" s="6">
        <f t="shared" si="152"/>
        <v>2299</v>
      </c>
      <c r="P148" s="6"/>
      <c r="Q148" s="6">
        <f t="shared" si="153"/>
        <v>96</v>
      </c>
      <c r="R148" s="6">
        <f>VLOOKUP(Q148,nc,2,FALSE)</f>
        <v>1383</v>
      </c>
      <c r="S148" s="6">
        <f t="shared" si="154"/>
        <v>50</v>
      </c>
      <c r="T148" s="6">
        <f>VLOOKUP(S148,nc,2,FALSE)</f>
        <v>619</v>
      </c>
      <c r="U148" s="6">
        <f t="shared" si="155"/>
        <v>2298</v>
      </c>
      <c r="V148" s="6"/>
      <c r="W148" s="6">
        <f t="shared" si="156"/>
        <v>16</v>
      </c>
      <c r="X148" s="6">
        <f t="shared" si="157"/>
        <v>15</v>
      </c>
      <c r="AE148" s="1">
        <f>AR147</f>
        <v>1803399104</v>
      </c>
      <c r="AF148" t="s">
        <v>2</v>
      </c>
      <c r="AG148">
        <f>AE148-AH148</f>
        <v>1306548149</v>
      </c>
      <c r="AH148">
        <f>AH147+1</f>
        <v>496850955</v>
      </c>
      <c r="AJ148">
        <f>INDEX($AU$22:$AU147,MATCH(AG148+1,$AT$22:$AT147,1))</f>
        <v>69</v>
      </c>
      <c r="AK148">
        <f t="shared" si="170"/>
        <v>67</v>
      </c>
      <c r="AL148">
        <f>INDEX($AT$22:$AT147,MATCH(AK148,$AU$22:$AU147,1))</f>
        <v>685792228</v>
      </c>
      <c r="AM148">
        <f t="shared" ref="AM148" si="176">AG148+AL148</f>
        <v>1992340377</v>
      </c>
      <c r="AT148">
        <f>AE148</f>
        <v>1803399104</v>
      </c>
      <c r="AU148">
        <f>AU147+1</f>
        <v>70</v>
      </c>
      <c r="AV148" s="1">
        <f>(AE148-AE147-1)*AU147+AU148+AV147</f>
        <v>119692215070</v>
      </c>
    </row>
    <row r="149" spans="2:52" x14ac:dyDescent="0.25">
      <c r="B149">
        <f t="shared" si="143"/>
        <v>147</v>
      </c>
      <c r="C149">
        <f t="shared" si="148"/>
        <v>2317</v>
      </c>
      <c r="D149">
        <f t="shared" si="149"/>
        <v>97</v>
      </c>
      <c r="E149" s="6">
        <f t="shared" si="145"/>
        <v>50</v>
      </c>
      <c r="F149">
        <f t="shared" si="146"/>
        <v>19</v>
      </c>
      <c r="H149">
        <f>VLOOKUP(D149+1,nc,5,TRUE)</f>
        <v>18</v>
      </c>
      <c r="I149">
        <f>VLOOKUP(E149,nc,5,TRUE)</f>
        <v>15</v>
      </c>
      <c r="K149">
        <f t="shared" si="150"/>
        <v>96</v>
      </c>
      <c r="L149">
        <f>VLOOKUP(K149,nc,2,FALSE)</f>
        <v>1383</v>
      </c>
      <c r="M149">
        <f t="shared" si="151"/>
        <v>51</v>
      </c>
      <c r="N149">
        <f>VLOOKUP(M149,nc,2,FALSE)</f>
        <v>635</v>
      </c>
      <c r="O149">
        <f t="shared" si="152"/>
        <v>2318</v>
      </c>
      <c r="Q149">
        <f t="shared" si="153"/>
        <v>97</v>
      </c>
      <c r="R149">
        <f>VLOOKUP(Q149,nc,2,FALSE)</f>
        <v>1401</v>
      </c>
      <c r="S149">
        <f t="shared" si="154"/>
        <v>50</v>
      </c>
      <c r="T149">
        <f>VLOOKUP(S149,nc,2,FALSE)</f>
        <v>619</v>
      </c>
      <c r="U149">
        <f t="shared" si="155"/>
        <v>2317</v>
      </c>
      <c r="W149">
        <f t="shared" si="156"/>
        <v>16</v>
      </c>
      <c r="X149">
        <f t="shared" si="157"/>
        <v>15</v>
      </c>
      <c r="AE149" s="1">
        <f>AM148</f>
        <v>1992340377</v>
      </c>
      <c r="AF149" t="s">
        <v>3</v>
      </c>
      <c r="AG149">
        <f>AG148+1</f>
        <v>1306548150</v>
      </c>
      <c r="AH149">
        <f>AE149-AG149</f>
        <v>685792227</v>
      </c>
      <c r="AO149">
        <f>INDEX($AU$22:$AU148,MATCH(AH149+1,$AT$22:$AT148,1))</f>
        <v>67</v>
      </c>
      <c r="AP149">
        <f t="shared" si="172"/>
        <v>70</v>
      </c>
      <c r="AQ149">
        <f>INDEX($AT$22:$AT148,MATCH(AP149,$AU$22:$AU148,1))</f>
        <v>1803399104</v>
      </c>
      <c r="AR149">
        <f t="shared" ref="AR149" si="177">AQ149+AH149</f>
        <v>2489191331</v>
      </c>
      <c r="AT149">
        <f>AT148</f>
        <v>1803399104</v>
      </c>
      <c r="AU149">
        <f>AU148</f>
        <v>70</v>
      </c>
      <c r="AV149" s="1">
        <f>(AE149-AE148-1)*AU148+AU149+AV148</f>
        <v>132918104180</v>
      </c>
    </row>
    <row r="150" spans="2:52" x14ac:dyDescent="0.25">
      <c r="B150">
        <f t="shared" si="143"/>
        <v>148</v>
      </c>
      <c r="C150">
        <f t="shared" si="148"/>
        <v>2336</v>
      </c>
      <c r="D150">
        <f t="shared" si="149"/>
        <v>98</v>
      </c>
      <c r="E150" s="6">
        <f t="shared" si="145"/>
        <v>50</v>
      </c>
      <c r="F150">
        <f t="shared" si="146"/>
        <v>19</v>
      </c>
      <c r="H150">
        <f>VLOOKUP(D150+1,nc,5,TRUE)</f>
        <v>18</v>
      </c>
      <c r="I150">
        <f>VLOOKUP(E150,nc,5,TRUE)</f>
        <v>15</v>
      </c>
      <c r="K150">
        <f t="shared" si="150"/>
        <v>97</v>
      </c>
      <c r="L150">
        <f>VLOOKUP(K150,nc,2,FALSE)</f>
        <v>1401</v>
      </c>
      <c r="M150">
        <f t="shared" si="151"/>
        <v>51</v>
      </c>
      <c r="N150">
        <f>VLOOKUP(M150,nc,2,FALSE)</f>
        <v>635</v>
      </c>
      <c r="O150">
        <f t="shared" si="152"/>
        <v>2337</v>
      </c>
      <c r="Q150">
        <f t="shared" si="153"/>
        <v>98</v>
      </c>
      <c r="R150">
        <f>VLOOKUP(Q150,nc,2,FALSE)</f>
        <v>1419</v>
      </c>
      <c r="S150">
        <f t="shared" si="154"/>
        <v>50</v>
      </c>
      <c r="T150">
        <f>VLOOKUP(S150,nc,2,FALSE)</f>
        <v>619</v>
      </c>
      <c r="U150">
        <f t="shared" si="155"/>
        <v>2336</v>
      </c>
      <c r="W150">
        <f t="shared" si="156"/>
        <v>16</v>
      </c>
      <c r="X150">
        <f t="shared" si="157"/>
        <v>15</v>
      </c>
      <c r="AE150" s="1">
        <f>AR149</f>
        <v>2489191331</v>
      </c>
      <c r="AF150" t="s">
        <v>2</v>
      </c>
      <c r="AG150">
        <f>AE150-AH150</f>
        <v>1803399103</v>
      </c>
      <c r="AH150">
        <f>AH149+1</f>
        <v>685792228</v>
      </c>
      <c r="AJ150">
        <f>INDEX($AU$22:$AU149,MATCH(AG150+1,$AT$22:$AT149,1))</f>
        <v>70</v>
      </c>
      <c r="AK150">
        <f t="shared" si="170"/>
        <v>68</v>
      </c>
      <c r="AL150">
        <f>INDEX($AT$22:$AT149,MATCH(AK150,$AU$22:$AU149,1))</f>
        <v>946583629</v>
      </c>
      <c r="AM150">
        <f t="shared" ref="AM150" si="178">AG150+AL150</f>
        <v>2749982732</v>
      </c>
      <c r="AT150">
        <f>AE150</f>
        <v>2489191331</v>
      </c>
      <c r="AU150">
        <f>AU149+1</f>
        <v>71</v>
      </c>
      <c r="AV150" s="1">
        <f>(AE150-AE149-1)*AU149+AU150+AV149</f>
        <v>167697670961</v>
      </c>
    </row>
    <row r="151" spans="2:52" x14ac:dyDescent="0.25">
      <c r="B151">
        <f t="shared" si="143"/>
        <v>149</v>
      </c>
      <c r="C151">
        <f t="shared" si="148"/>
        <v>2355</v>
      </c>
      <c r="D151">
        <f t="shared" si="149"/>
        <v>99</v>
      </c>
      <c r="E151" s="6">
        <f t="shared" si="145"/>
        <v>50</v>
      </c>
      <c r="F151">
        <f t="shared" si="146"/>
        <v>19</v>
      </c>
      <c r="H151">
        <f>VLOOKUP(D151+1,nc,5,TRUE)</f>
        <v>18</v>
      </c>
      <c r="I151">
        <f>VLOOKUP(E151,nc,5,TRUE)</f>
        <v>15</v>
      </c>
      <c r="K151">
        <f t="shared" si="150"/>
        <v>98</v>
      </c>
      <c r="L151">
        <f>VLOOKUP(K151,nc,2,FALSE)</f>
        <v>1419</v>
      </c>
      <c r="M151">
        <f t="shared" si="151"/>
        <v>51</v>
      </c>
      <c r="N151">
        <f>VLOOKUP(M151,nc,2,FALSE)</f>
        <v>635</v>
      </c>
      <c r="O151">
        <f t="shared" si="152"/>
        <v>2356</v>
      </c>
      <c r="Q151">
        <f t="shared" si="153"/>
        <v>99</v>
      </c>
      <c r="R151">
        <f>VLOOKUP(Q151,nc,2,FALSE)</f>
        <v>1437</v>
      </c>
      <c r="S151">
        <f t="shared" si="154"/>
        <v>50</v>
      </c>
      <c r="T151">
        <f>VLOOKUP(S151,nc,2,FALSE)</f>
        <v>619</v>
      </c>
      <c r="U151">
        <f t="shared" si="155"/>
        <v>2355</v>
      </c>
      <c r="W151">
        <f t="shared" si="156"/>
        <v>16</v>
      </c>
      <c r="X151">
        <f t="shared" si="157"/>
        <v>15</v>
      </c>
      <c r="AE151" s="1">
        <f>AM150</f>
        <v>2749982732</v>
      </c>
      <c r="AF151" t="s">
        <v>3</v>
      </c>
      <c r="AG151">
        <f>AG150+1</f>
        <v>1803399104</v>
      </c>
      <c r="AH151">
        <f>AE151-AG151</f>
        <v>946583628</v>
      </c>
      <c r="AO151">
        <f>INDEX($AU$22:$AU150,MATCH(AH151+1,$AT$22:$AT150,1))</f>
        <v>68</v>
      </c>
      <c r="AP151">
        <f t="shared" si="172"/>
        <v>71</v>
      </c>
      <c r="AQ151">
        <f>INDEX($AT$22:$AT150,MATCH(AP151,$AU$22:$AU150,1))</f>
        <v>2489191331</v>
      </c>
      <c r="AR151">
        <f t="shared" ref="AR151" si="179">AQ151+AH151</f>
        <v>3435774959</v>
      </c>
      <c r="AT151">
        <f>AT150</f>
        <v>2489191331</v>
      </c>
      <c r="AU151">
        <f>AU150</f>
        <v>71</v>
      </c>
      <c r="AV151" s="1">
        <f>(AE151-AE150-1)*AU150+AU151+AV150</f>
        <v>186213860432</v>
      </c>
    </row>
    <row r="152" spans="2:52" x14ac:dyDescent="0.25">
      <c r="B152">
        <f t="shared" si="143"/>
        <v>150</v>
      </c>
      <c r="C152">
        <f t="shared" si="148"/>
        <v>2374</v>
      </c>
      <c r="D152">
        <f t="shared" si="149"/>
        <v>100</v>
      </c>
      <c r="E152" s="6">
        <f t="shared" si="145"/>
        <v>50</v>
      </c>
      <c r="F152">
        <f t="shared" si="146"/>
        <v>19</v>
      </c>
      <c r="H152">
        <f>VLOOKUP(D152+1,nc,5,TRUE)</f>
        <v>18</v>
      </c>
      <c r="I152">
        <f>VLOOKUP(E152,nc,5,TRUE)</f>
        <v>15</v>
      </c>
      <c r="K152">
        <f t="shared" si="150"/>
        <v>99</v>
      </c>
      <c r="L152">
        <f>VLOOKUP(K152,nc,2,FALSE)</f>
        <v>1437</v>
      </c>
      <c r="M152">
        <f t="shared" si="151"/>
        <v>51</v>
      </c>
      <c r="N152">
        <f>VLOOKUP(M152,nc,2,FALSE)</f>
        <v>635</v>
      </c>
      <c r="O152">
        <f t="shared" si="152"/>
        <v>2375</v>
      </c>
      <c r="Q152">
        <f t="shared" si="153"/>
        <v>100</v>
      </c>
      <c r="R152">
        <f>VLOOKUP(Q152,nc,2,FALSE)</f>
        <v>1455</v>
      </c>
      <c r="S152">
        <f t="shared" si="154"/>
        <v>50</v>
      </c>
      <c r="T152">
        <f>VLOOKUP(S152,nc,2,FALSE)</f>
        <v>619</v>
      </c>
      <c r="U152">
        <f t="shared" si="155"/>
        <v>2374</v>
      </c>
      <c r="W152">
        <f t="shared" si="156"/>
        <v>16</v>
      </c>
      <c r="X152">
        <f t="shared" si="157"/>
        <v>15</v>
      </c>
      <c r="AE152" s="1">
        <f>AR151</f>
        <v>3435774959</v>
      </c>
      <c r="AF152" t="s">
        <v>2</v>
      </c>
      <c r="AG152">
        <f>AE152-AH152</f>
        <v>2489191330</v>
      </c>
      <c r="AH152">
        <f>AH151+1</f>
        <v>946583629</v>
      </c>
      <c r="AJ152">
        <f>INDEX($AU$22:$AU151,MATCH(AG152+1,$AT$22:$AT151,1))</f>
        <v>71</v>
      </c>
      <c r="AK152">
        <f t="shared" si="170"/>
        <v>69</v>
      </c>
      <c r="AL152">
        <f>INDEX($AT$22:$AT151,MATCH(AK152,$AU$22:$AU151,1))</f>
        <v>1306548150</v>
      </c>
      <c r="AM152">
        <f t="shared" ref="AM152" si="180">AG152+AL152</f>
        <v>3795739480</v>
      </c>
      <c r="AT152">
        <f>AE152</f>
        <v>3435774959</v>
      </c>
      <c r="AU152">
        <f>AU151+1</f>
        <v>72</v>
      </c>
      <c r="AV152" s="1">
        <f>(AE152-AE151-1)*AU151+AU152+AV151</f>
        <v>234905108550</v>
      </c>
    </row>
    <row r="153" spans="2:52" x14ac:dyDescent="0.25">
      <c r="B153">
        <f t="shared" si="143"/>
        <v>151</v>
      </c>
      <c r="C153">
        <f t="shared" si="148"/>
        <v>2393</v>
      </c>
      <c r="D153">
        <f t="shared" si="149"/>
        <v>101</v>
      </c>
      <c r="E153" s="6">
        <f t="shared" si="145"/>
        <v>50</v>
      </c>
      <c r="F153">
        <f t="shared" si="146"/>
        <v>19</v>
      </c>
      <c r="H153">
        <f>VLOOKUP(D153+1,nc,5,TRUE)</f>
        <v>18</v>
      </c>
      <c r="I153">
        <f>VLOOKUP(E153,nc,5,TRUE)</f>
        <v>15</v>
      </c>
      <c r="K153">
        <f t="shared" si="150"/>
        <v>100</v>
      </c>
      <c r="L153">
        <f>VLOOKUP(K153,nc,2,FALSE)</f>
        <v>1455</v>
      </c>
      <c r="M153">
        <f t="shared" si="151"/>
        <v>51</v>
      </c>
      <c r="N153">
        <f>VLOOKUP(M153,nc,2,FALSE)</f>
        <v>635</v>
      </c>
      <c r="O153">
        <f t="shared" si="152"/>
        <v>2394</v>
      </c>
      <c r="Q153">
        <f t="shared" si="153"/>
        <v>101</v>
      </c>
      <c r="R153">
        <f>VLOOKUP(Q153,nc,2,FALSE)</f>
        <v>1473</v>
      </c>
      <c r="S153">
        <f t="shared" si="154"/>
        <v>50</v>
      </c>
      <c r="T153">
        <f>VLOOKUP(S153,nc,2,FALSE)</f>
        <v>619</v>
      </c>
      <c r="U153">
        <f t="shared" si="155"/>
        <v>2393</v>
      </c>
      <c r="W153">
        <f t="shared" si="156"/>
        <v>16</v>
      </c>
      <c r="X153">
        <f t="shared" si="157"/>
        <v>15</v>
      </c>
      <c r="AE153" s="1">
        <f>AM152</f>
        <v>3795739480</v>
      </c>
      <c r="AF153" t="s">
        <v>3</v>
      </c>
      <c r="AG153">
        <f>AG152+1</f>
        <v>2489191331</v>
      </c>
      <c r="AH153">
        <f>AE153-AG153</f>
        <v>1306548149</v>
      </c>
      <c r="AO153">
        <f>INDEX($AU$22:$AU152,MATCH(AH153+1,$AT$22:$AT152,1))</f>
        <v>69</v>
      </c>
      <c r="AP153">
        <f t="shared" si="172"/>
        <v>72</v>
      </c>
      <c r="AQ153">
        <f>INDEX($AT$22:$AT152,MATCH(AP153,$AU$22:$AU152,1))</f>
        <v>3435774959</v>
      </c>
      <c r="AR153">
        <f t="shared" ref="AR153" si="181">AQ153+AH153</f>
        <v>4742323108</v>
      </c>
      <c r="AT153">
        <f>AT152</f>
        <v>3435774959</v>
      </c>
      <c r="AU153">
        <f>AU152</f>
        <v>72</v>
      </c>
      <c r="AV153" s="1">
        <f>(AE153-AE152-1)*AU152+AU153+AV152</f>
        <v>260822554062</v>
      </c>
    </row>
    <row r="154" spans="2:52" x14ac:dyDescent="0.25">
      <c r="B154">
        <f t="shared" si="143"/>
        <v>152</v>
      </c>
      <c r="C154">
        <f t="shared" si="148"/>
        <v>2412</v>
      </c>
      <c r="D154">
        <f t="shared" si="149"/>
        <v>102</v>
      </c>
      <c r="E154" s="6">
        <f t="shared" si="145"/>
        <v>50</v>
      </c>
      <c r="F154">
        <f t="shared" si="146"/>
        <v>19</v>
      </c>
      <c r="H154">
        <f>VLOOKUP(D154+1,nc,5,TRUE)</f>
        <v>18</v>
      </c>
      <c r="I154">
        <f>VLOOKUP(E154,nc,5,TRUE)</f>
        <v>15</v>
      </c>
      <c r="K154">
        <f t="shared" si="150"/>
        <v>101</v>
      </c>
      <c r="L154">
        <f>VLOOKUP(K154,nc,2,FALSE)</f>
        <v>1473</v>
      </c>
      <c r="M154">
        <f t="shared" si="151"/>
        <v>51</v>
      </c>
      <c r="N154">
        <f>VLOOKUP(M154,nc,2,FALSE)</f>
        <v>635</v>
      </c>
      <c r="O154">
        <f t="shared" si="152"/>
        <v>2413</v>
      </c>
      <c r="Q154">
        <f t="shared" si="153"/>
        <v>102</v>
      </c>
      <c r="R154">
        <f>VLOOKUP(Q154,nc,2,FALSE)</f>
        <v>1491</v>
      </c>
      <c r="S154">
        <f t="shared" si="154"/>
        <v>50</v>
      </c>
      <c r="T154">
        <f>VLOOKUP(S154,nc,2,FALSE)</f>
        <v>619</v>
      </c>
      <c r="U154">
        <f t="shared" si="155"/>
        <v>2412</v>
      </c>
      <c r="W154">
        <f t="shared" si="156"/>
        <v>16</v>
      </c>
      <c r="X154">
        <f t="shared" si="157"/>
        <v>15</v>
      </c>
      <c r="AE154" s="1">
        <f>AR153</f>
        <v>4742323108</v>
      </c>
      <c r="AF154" t="s">
        <v>2</v>
      </c>
      <c r="AG154">
        <f>AE154-AH154</f>
        <v>3435774958</v>
      </c>
      <c r="AH154">
        <f>AH153+1</f>
        <v>1306548150</v>
      </c>
      <c r="AJ154">
        <f>INDEX($AU$22:$AU153,MATCH(AG154+1,$AT$22:$AT153,1))</f>
        <v>72</v>
      </c>
      <c r="AK154">
        <f t="shared" si="170"/>
        <v>70</v>
      </c>
      <c r="AL154">
        <f>INDEX($AT$22:$AT153,MATCH(AK154,$AU$22:$AU153,1))</f>
        <v>1803399104</v>
      </c>
      <c r="AM154">
        <f t="shared" ref="AM154" si="182">AG154+AL154</f>
        <v>5239174062</v>
      </c>
      <c r="AT154">
        <f>AE154</f>
        <v>4742323108</v>
      </c>
      <c r="AU154">
        <f>AU153+1</f>
        <v>73</v>
      </c>
      <c r="AV154" s="1">
        <f>(AE154-AE153-1)*AU153+AU154+AV153</f>
        <v>328976575279</v>
      </c>
    </row>
    <row r="155" spans="2:52" x14ac:dyDescent="0.25">
      <c r="B155">
        <f t="shared" si="143"/>
        <v>153</v>
      </c>
      <c r="C155">
        <f t="shared" si="148"/>
        <v>2431</v>
      </c>
      <c r="D155">
        <f t="shared" si="149"/>
        <v>103</v>
      </c>
      <c r="E155" s="6">
        <f t="shared" si="145"/>
        <v>50</v>
      </c>
      <c r="F155">
        <f t="shared" si="146"/>
        <v>19</v>
      </c>
      <c r="H155">
        <f>VLOOKUP(D155+1,nc,5,TRUE)</f>
        <v>18</v>
      </c>
      <c r="I155">
        <f>VLOOKUP(E155,nc,5,TRUE)</f>
        <v>15</v>
      </c>
      <c r="K155">
        <f t="shared" si="150"/>
        <v>102</v>
      </c>
      <c r="L155">
        <f>VLOOKUP(K155,nc,2,FALSE)</f>
        <v>1491</v>
      </c>
      <c r="M155">
        <f t="shared" si="151"/>
        <v>51</v>
      </c>
      <c r="N155">
        <f>VLOOKUP(M155,nc,2,FALSE)</f>
        <v>635</v>
      </c>
      <c r="O155">
        <f t="shared" si="152"/>
        <v>2432</v>
      </c>
      <c r="Q155">
        <f t="shared" si="153"/>
        <v>103</v>
      </c>
      <c r="R155">
        <f>VLOOKUP(Q155,nc,2,FALSE)</f>
        <v>1509</v>
      </c>
      <c r="S155">
        <f t="shared" si="154"/>
        <v>50</v>
      </c>
      <c r="T155">
        <f>VLOOKUP(S155,nc,2,FALSE)</f>
        <v>619</v>
      </c>
      <c r="U155">
        <f t="shared" si="155"/>
        <v>2431</v>
      </c>
      <c r="W155">
        <f t="shared" si="156"/>
        <v>16</v>
      </c>
      <c r="X155">
        <f t="shared" si="157"/>
        <v>15</v>
      </c>
      <c r="AE155" s="1">
        <f>AM154</f>
        <v>5239174062</v>
      </c>
      <c r="AF155" t="s">
        <v>3</v>
      </c>
      <c r="AG155">
        <f>AG154+1</f>
        <v>3435774959</v>
      </c>
      <c r="AH155">
        <f>AE155-AG155</f>
        <v>1803399103</v>
      </c>
      <c r="AO155">
        <f>INDEX($AU$22:$AU154,MATCH(AH155+1,$AT$22:$AT154,1))</f>
        <v>70</v>
      </c>
      <c r="AP155">
        <f t="shared" si="172"/>
        <v>73</v>
      </c>
      <c r="AQ155">
        <f>INDEX($AT$22:$AT154,MATCH(AP155,$AU$22:$AU154,1))</f>
        <v>4742323108</v>
      </c>
      <c r="AR155">
        <f t="shared" ref="AR155" si="183">AQ155+AH155</f>
        <v>6545722211</v>
      </c>
      <c r="AT155">
        <f>AT154</f>
        <v>4742323108</v>
      </c>
      <c r="AU155">
        <f>AU154</f>
        <v>73</v>
      </c>
      <c r="AV155" s="1">
        <f>(AE155-AE154-1)*AU154+AU155+AV154</f>
        <v>365246694921</v>
      </c>
    </row>
    <row r="156" spans="2:52" x14ac:dyDescent="0.25">
      <c r="B156">
        <f t="shared" si="143"/>
        <v>154</v>
      </c>
      <c r="C156">
        <f t="shared" si="148"/>
        <v>2450</v>
      </c>
      <c r="D156">
        <f t="shared" si="149"/>
        <v>104</v>
      </c>
      <c r="E156" s="6">
        <f t="shared" si="145"/>
        <v>50</v>
      </c>
      <c r="F156">
        <f t="shared" si="146"/>
        <v>19</v>
      </c>
      <c r="H156">
        <f>VLOOKUP(D156+1,nc,5,TRUE)</f>
        <v>18</v>
      </c>
      <c r="I156">
        <f>VLOOKUP(E156,nc,5,TRUE)</f>
        <v>15</v>
      </c>
      <c r="K156">
        <f t="shared" si="150"/>
        <v>103</v>
      </c>
      <c r="L156">
        <f>VLOOKUP(K156,nc,2,FALSE)</f>
        <v>1509</v>
      </c>
      <c r="M156">
        <f t="shared" si="151"/>
        <v>51</v>
      </c>
      <c r="N156">
        <f>VLOOKUP(M156,nc,2,FALSE)</f>
        <v>635</v>
      </c>
      <c r="O156">
        <f t="shared" si="152"/>
        <v>2451</v>
      </c>
      <c r="Q156">
        <f t="shared" si="153"/>
        <v>104</v>
      </c>
      <c r="R156">
        <f>VLOOKUP(Q156,nc,2,FALSE)</f>
        <v>1527</v>
      </c>
      <c r="S156">
        <f t="shared" si="154"/>
        <v>50</v>
      </c>
      <c r="T156">
        <f>VLOOKUP(S156,nc,2,FALSE)</f>
        <v>619</v>
      </c>
      <c r="U156">
        <f t="shared" si="155"/>
        <v>2450</v>
      </c>
      <c r="W156">
        <f t="shared" si="156"/>
        <v>16</v>
      </c>
      <c r="X156">
        <f t="shared" si="157"/>
        <v>15</v>
      </c>
    </row>
    <row r="157" spans="2:52" x14ac:dyDescent="0.25">
      <c r="B157">
        <f t="shared" si="143"/>
        <v>155</v>
      </c>
      <c r="C157">
        <f t="shared" si="148"/>
        <v>2469</v>
      </c>
      <c r="D157">
        <f t="shared" si="149"/>
        <v>105</v>
      </c>
      <c r="E157" s="6">
        <f t="shared" si="145"/>
        <v>50</v>
      </c>
      <c r="F157">
        <f t="shared" si="146"/>
        <v>19</v>
      </c>
      <c r="H157">
        <f>VLOOKUP(D157+1,nc,5,TRUE)</f>
        <v>18</v>
      </c>
      <c r="I157">
        <f>VLOOKUP(E157,nc,5,TRUE)</f>
        <v>15</v>
      </c>
      <c r="K157">
        <f t="shared" si="150"/>
        <v>104</v>
      </c>
      <c r="L157">
        <f>VLOOKUP(K157,nc,2,FALSE)</f>
        <v>1527</v>
      </c>
      <c r="M157">
        <f t="shared" si="151"/>
        <v>51</v>
      </c>
      <c r="N157">
        <f>VLOOKUP(M157,nc,2,FALSE)</f>
        <v>635</v>
      </c>
      <c r="O157">
        <f t="shared" si="152"/>
        <v>2470</v>
      </c>
      <c r="Q157">
        <f t="shared" si="153"/>
        <v>105</v>
      </c>
      <c r="R157">
        <f>VLOOKUP(Q157,nc,2,FALSE)</f>
        <v>1545</v>
      </c>
      <c r="S157">
        <f t="shared" si="154"/>
        <v>50</v>
      </c>
      <c r="T157">
        <f>VLOOKUP(S157,nc,2,FALSE)</f>
        <v>619</v>
      </c>
      <c r="U157">
        <f t="shared" si="155"/>
        <v>2469</v>
      </c>
      <c r="W157">
        <f t="shared" si="156"/>
        <v>16</v>
      </c>
      <c r="X157">
        <f t="shared" si="157"/>
        <v>15</v>
      </c>
    </row>
    <row r="158" spans="2:52" x14ac:dyDescent="0.25">
      <c r="B158">
        <f t="shared" si="143"/>
        <v>156</v>
      </c>
      <c r="C158">
        <f t="shared" si="148"/>
        <v>2488</v>
      </c>
      <c r="D158">
        <f t="shared" si="149"/>
        <v>106</v>
      </c>
      <c r="E158" s="6">
        <f t="shared" si="145"/>
        <v>50</v>
      </c>
      <c r="F158">
        <f t="shared" si="146"/>
        <v>19</v>
      </c>
      <c r="H158">
        <f>VLOOKUP(D158+1,nc,5,TRUE)</f>
        <v>18</v>
      </c>
      <c r="I158">
        <f>VLOOKUP(E158,nc,5,TRUE)</f>
        <v>15</v>
      </c>
      <c r="K158">
        <f t="shared" si="150"/>
        <v>105</v>
      </c>
      <c r="L158">
        <f>VLOOKUP(K158,nc,2,FALSE)</f>
        <v>1545</v>
      </c>
      <c r="M158">
        <f t="shared" si="151"/>
        <v>51</v>
      </c>
      <c r="N158">
        <f>VLOOKUP(M158,nc,2,FALSE)</f>
        <v>635</v>
      </c>
      <c r="O158">
        <f t="shared" si="152"/>
        <v>2489</v>
      </c>
      <c r="Q158">
        <f t="shared" si="153"/>
        <v>106</v>
      </c>
      <c r="R158">
        <f>VLOOKUP(Q158,nc,2,FALSE)</f>
        <v>1563</v>
      </c>
      <c r="S158">
        <f t="shared" si="154"/>
        <v>50</v>
      </c>
      <c r="T158">
        <f>VLOOKUP(S158,nc,2,FALSE)</f>
        <v>619</v>
      </c>
      <c r="U158">
        <f t="shared" si="155"/>
        <v>2488</v>
      </c>
      <c r="W158">
        <f t="shared" si="156"/>
        <v>16</v>
      </c>
      <c r="X158">
        <f t="shared" si="157"/>
        <v>15</v>
      </c>
    </row>
    <row r="159" spans="2:52" x14ac:dyDescent="0.25">
      <c r="B159">
        <f t="shared" si="143"/>
        <v>157</v>
      </c>
      <c r="C159">
        <f t="shared" si="148"/>
        <v>2507</v>
      </c>
      <c r="D159">
        <f t="shared" si="149"/>
        <v>107</v>
      </c>
      <c r="E159" s="6">
        <f t="shared" si="145"/>
        <v>50</v>
      </c>
      <c r="F159">
        <f t="shared" si="146"/>
        <v>19</v>
      </c>
      <c r="H159">
        <f>VLOOKUP(D159+1,nc,5,TRUE)</f>
        <v>18</v>
      </c>
      <c r="I159">
        <f>VLOOKUP(E159,nc,5,TRUE)</f>
        <v>15</v>
      </c>
      <c r="K159">
        <f t="shared" si="150"/>
        <v>106</v>
      </c>
      <c r="L159">
        <f>VLOOKUP(K159,nc,2,FALSE)</f>
        <v>1563</v>
      </c>
      <c r="M159">
        <f t="shared" si="151"/>
        <v>51</v>
      </c>
      <c r="N159">
        <f>VLOOKUP(M159,nc,2,FALSE)</f>
        <v>635</v>
      </c>
      <c r="O159">
        <f t="shared" si="152"/>
        <v>2508</v>
      </c>
      <c r="Q159">
        <f t="shared" si="153"/>
        <v>107</v>
      </c>
      <c r="R159">
        <f>VLOOKUP(Q159,nc,2,FALSE)</f>
        <v>1581</v>
      </c>
      <c r="S159">
        <f t="shared" si="154"/>
        <v>50</v>
      </c>
      <c r="T159">
        <f>VLOOKUP(S159,nc,2,FALSE)</f>
        <v>619</v>
      </c>
      <c r="U159">
        <f t="shared" si="155"/>
        <v>2507</v>
      </c>
      <c r="W159">
        <f t="shared" si="156"/>
        <v>16</v>
      </c>
      <c r="X159">
        <f t="shared" si="157"/>
        <v>15</v>
      </c>
    </row>
    <row r="160" spans="2:52" x14ac:dyDescent="0.25">
      <c r="B160">
        <f t="shared" si="143"/>
        <v>158</v>
      </c>
      <c r="C160">
        <f t="shared" si="148"/>
        <v>2526</v>
      </c>
      <c r="D160">
        <f t="shared" si="149"/>
        <v>108</v>
      </c>
      <c r="E160" s="6">
        <f t="shared" si="145"/>
        <v>50</v>
      </c>
      <c r="F160">
        <f t="shared" si="146"/>
        <v>19</v>
      </c>
      <c r="H160">
        <f>VLOOKUP(D160+1,nc,5,TRUE)</f>
        <v>18</v>
      </c>
      <c r="I160">
        <f>VLOOKUP(E160,nc,5,TRUE)</f>
        <v>15</v>
      </c>
      <c r="K160">
        <f t="shared" si="150"/>
        <v>107</v>
      </c>
      <c r="L160">
        <f>VLOOKUP(K160,nc,2,FALSE)</f>
        <v>1581</v>
      </c>
      <c r="M160">
        <f t="shared" si="151"/>
        <v>51</v>
      </c>
      <c r="N160">
        <f>VLOOKUP(M160,nc,2,FALSE)</f>
        <v>635</v>
      </c>
      <c r="O160">
        <f t="shared" si="152"/>
        <v>2527</v>
      </c>
      <c r="Q160">
        <f t="shared" si="153"/>
        <v>108</v>
      </c>
      <c r="R160">
        <f>VLOOKUP(Q160,nc,2,FALSE)</f>
        <v>1599</v>
      </c>
      <c r="S160">
        <f t="shared" si="154"/>
        <v>50</v>
      </c>
      <c r="T160">
        <f>VLOOKUP(S160,nc,2,FALSE)</f>
        <v>619</v>
      </c>
      <c r="U160">
        <f t="shared" si="155"/>
        <v>2526</v>
      </c>
      <c r="W160">
        <f t="shared" si="156"/>
        <v>16</v>
      </c>
      <c r="X160">
        <f t="shared" si="157"/>
        <v>15</v>
      </c>
    </row>
    <row r="161" spans="2:24" x14ac:dyDescent="0.25">
      <c r="B161">
        <f t="shared" si="143"/>
        <v>159</v>
      </c>
      <c r="C161">
        <f t="shared" si="148"/>
        <v>2545</v>
      </c>
      <c r="D161">
        <f t="shared" si="149"/>
        <v>109</v>
      </c>
      <c r="E161" s="6">
        <f t="shared" si="145"/>
        <v>50</v>
      </c>
      <c r="F161">
        <f t="shared" si="146"/>
        <v>19</v>
      </c>
      <c r="H161">
        <f>VLOOKUP(D161+1,nc,5,TRUE)</f>
        <v>18</v>
      </c>
      <c r="I161">
        <f>VLOOKUP(E161,nc,5,TRUE)</f>
        <v>15</v>
      </c>
      <c r="K161">
        <f t="shared" si="150"/>
        <v>108</v>
      </c>
      <c r="L161">
        <f>VLOOKUP(K161,nc,2,FALSE)</f>
        <v>1599</v>
      </c>
      <c r="M161">
        <f t="shared" si="151"/>
        <v>51</v>
      </c>
      <c r="N161">
        <f>VLOOKUP(M161,nc,2,FALSE)</f>
        <v>635</v>
      </c>
      <c r="O161">
        <f t="shared" si="152"/>
        <v>2546</v>
      </c>
      <c r="Q161">
        <f t="shared" si="153"/>
        <v>109</v>
      </c>
      <c r="R161">
        <f>VLOOKUP(Q161,nc,2,FALSE)</f>
        <v>1617</v>
      </c>
      <c r="S161">
        <f t="shared" si="154"/>
        <v>50</v>
      </c>
      <c r="T161">
        <f>VLOOKUP(S161,nc,2,FALSE)</f>
        <v>619</v>
      </c>
      <c r="U161">
        <f t="shared" si="155"/>
        <v>2545</v>
      </c>
      <c r="W161">
        <f t="shared" si="156"/>
        <v>16</v>
      </c>
      <c r="X161">
        <f t="shared" si="157"/>
        <v>15</v>
      </c>
    </row>
    <row r="162" spans="2:24" x14ac:dyDescent="0.25">
      <c r="B162">
        <f t="shared" si="143"/>
        <v>160</v>
      </c>
      <c r="C162">
        <f t="shared" si="148"/>
        <v>2564</v>
      </c>
      <c r="D162">
        <f t="shared" si="149"/>
        <v>110</v>
      </c>
      <c r="E162" s="6">
        <f t="shared" si="145"/>
        <v>50</v>
      </c>
      <c r="F162">
        <f t="shared" si="146"/>
        <v>19</v>
      </c>
      <c r="H162">
        <f>VLOOKUP(D162+1,nc,5,TRUE)</f>
        <v>18</v>
      </c>
      <c r="I162">
        <f>VLOOKUP(E162,nc,5,TRUE)</f>
        <v>15</v>
      </c>
      <c r="K162">
        <f t="shared" si="150"/>
        <v>109</v>
      </c>
      <c r="L162">
        <f>VLOOKUP(K162,nc,2,FALSE)</f>
        <v>1617</v>
      </c>
      <c r="M162">
        <f t="shared" si="151"/>
        <v>51</v>
      </c>
      <c r="N162">
        <f>VLOOKUP(M162,nc,2,FALSE)</f>
        <v>635</v>
      </c>
      <c r="O162">
        <f t="shared" si="152"/>
        <v>2565</v>
      </c>
      <c r="Q162">
        <f t="shared" si="153"/>
        <v>110</v>
      </c>
      <c r="R162">
        <f>VLOOKUP(Q162,nc,2,FALSE)</f>
        <v>1635</v>
      </c>
      <c r="S162">
        <f t="shared" si="154"/>
        <v>50</v>
      </c>
      <c r="T162">
        <f>VLOOKUP(S162,nc,2,FALSE)</f>
        <v>619</v>
      </c>
      <c r="U162">
        <f t="shared" si="155"/>
        <v>2564</v>
      </c>
      <c r="W162">
        <f t="shared" si="156"/>
        <v>16</v>
      </c>
      <c r="X162">
        <f t="shared" si="157"/>
        <v>15</v>
      </c>
    </row>
    <row r="163" spans="2:24" x14ac:dyDescent="0.25">
      <c r="B163">
        <f t="shared" si="143"/>
        <v>161</v>
      </c>
      <c r="C163">
        <f t="shared" si="148"/>
        <v>2583</v>
      </c>
      <c r="D163">
        <f t="shared" si="149"/>
        <v>111</v>
      </c>
      <c r="E163" s="6">
        <f t="shared" si="145"/>
        <v>50</v>
      </c>
      <c r="F163">
        <f t="shared" si="146"/>
        <v>19</v>
      </c>
      <c r="H163">
        <f>VLOOKUP(D163+1,nc,5,TRUE)</f>
        <v>18</v>
      </c>
      <c r="I163">
        <f>VLOOKUP(E163,nc,5,TRUE)</f>
        <v>15</v>
      </c>
      <c r="K163">
        <f t="shared" si="150"/>
        <v>110</v>
      </c>
      <c r="L163">
        <f>VLOOKUP(K163,nc,2,FALSE)</f>
        <v>1635</v>
      </c>
      <c r="M163">
        <f t="shared" si="151"/>
        <v>51</v>
      </c>
      <c r="N163">
        <f>VLOOKUP(M163,nc,2,FALSE)</f>
        <v>635</v>
      </c>
      <c r="O163">
        <f t="shared" si="152"/>
        <v>2584</v>
      </c>
      <c r="Q163">
        <f t="shared" si="153"/>
        <v>111</v>
      </c>
      <c r="R163">
        <f>VLOOKUP(Q163,nc,2,FALSE)</f>
        <v>1653</v>
      </c>
      <c r="S163">
        <f t="shared" si="154"/>
        <v>50</v>
      </c>
      <c r="T163">
        <f>VLOOKUP(S163,nc,2,FALSE)</f>
        <v>619</v>
      </c>
      <c r="U163">
        <f t="shared" si="155"/>
        <v>2583</v>
      </c>
      <c r="W163">
        <f t="shared" si="156"/>
        <v>16</v>
      </c>
      <c r="X163">
        <f t="shared" si="157"/>
        <v>15</v>
      </c>
    </row>
    <row r="164" spans="2:24" x14ac:dyDescent="0.25">
      <c r="B164">
        <f t="shared" si="143"/>
        <v>162</v>
      </c>
      <c r="C164">
        <f t="shared" si="148"/>
        <v>2602</v>
      </c>
      <c r="D164">
        <f t="shared" si="149"/>
        <v>112</v>
      </c>
      <c r="E164" s="6">
        <f t="shared" si="145"/>
        <v>50</v>
      </c>
      <c r="F164">
        <f t="shared" si="146"/>
        <v>19</v>
      </c>
      <c r="H164">
        <f>VLOOKUP(D164+1,nc,5,TRUE)</f>
        <v>18</v>
      </c>
      <c r="I164">
        <f>VLOOKUP(E164,nc,5,TRUE)</f>
        <v>15</v>
      </c>
      <c r="K164">
        <f t="shared" si="150"/>
        <v>111</v>
      </c>
      <c r="L164">
        <f>VLOOKUP(K164,nc,2,FALSE)</f>
        <v>1653</v>
      </c>
      <c r="M164">
        <f t="shared" si="151"/>
        <v>51</v>
      </c>
      <c r="N164">
        <f>VLOOKUP(M164,nc,2,FALSE)</f>
        <v>635</v>
      </c>
      <c r="O164">
        <f t="shared" si="152"/>
        <v>2603</v>
      </c>
      <c r="Q164">
        <f t="shared" si="153"/>
        <v>112</v>
      </c>
      <c r="R164">
        <f>VLOOKUP(Q164,nc,2,FALSE)</f>
        <v>1671</v>
      </c>
      <c r="S164">
        <f t="shared" si="154"/>
        <v>50</v>
      </c>
      <c r="T164">
        <f>VLOOKUP(S164,nc,2,FALSE)</f>
        <v>619</v>
      </c>
      <c r="U164">
        <f t="shared" si="155"/>
        <v>2602</v>
      </c>
      <c r="W164">
        <f t="shared" si="156"/>
        <v>16</v>
      </c>
      <c r="X164">
        <f t="shared" si="157"/>
        <v>15</v>
      </c>
    </row>
    <row r="165" spans="2:24" x14ac:dyDescent="0.25">
      <c r="B165">
        <f t="shared" si="143"/>
        <v>163</v>
      </c>
      <c r="C165">
        <f t="shared" si="148"/>
        <v>2621</v>
      </c>
      <c r="D165">
        <f t="shared" si="149"/>
        <v>113</v>
      </c>
      <c r="E165" s="6">
        <f t="shared" si="145"/>
        <v>50</v>
      </c>
      <c r="F165">
        <f t="shared" si="146"/>
        <v>19</v>
      </c>
      <c r="H165">
        <f>VLOOKUP(D165+1,nc,5,TRUE)</f>
        <v>18</v>
      </c>
      <c r="I165">
        <f>VLOOKUP(E165,nc,5,TRUE)</f>
        <v>15</v>
      </c>
      <c r="K165">
        <f t="shared" si="150"/>
        <v>112</v>
      </c>
      <c r="L165">
        <f>VLOOKUP(K165,nc,2,FALSE)</f>
        <v>1671</v>
      </c>
      <c r="M165">
        <f t="shared" si="151"/>
        <v>51</v>
      </c>
      <c r="N165">
        <f>VLOOKUP(M165,nc,2,FALSE)</f>
        <v>635</v>
      </c>
      <c r="O165">
        <f t="shared" si="152"/>
        <v>2622</v>
      </c>
      <c r="Q165">
        <f t="shared" si="153"/>
        <v>113</v>
      </c>
      <c r="R165">
        <f>VLOOKUP(Q165,nc,2,FALSE)</f>
        <v>1689</v>
      </c>
      <c r="S165">
        <f t="shared" si="154"/>
        <v>50</v>
      </c>
      <c r="T165">
        <f>VLOOKUP(S165,nc,2,FALSE)</f>
        <v>619</v>
      </c>
      <c r="U165">
        <f t="shared" si="155"/>
        <v>2621</v>
      </c>
      <c r="W165">
        <f t="shared" si="156"/>
        <v>16</v>
      </c>
      <c r="X165">
        <f t="shared" si="157"/>
        <v>15</v>
      </c>
    </row>
    <row r="166" spans="2:24" x14ac:dyDescent="0.25">
      <c r="B166">
        <f t="shared" si="143"/>
        <v>164</v>
      </c>
      <c r="C166">
        <f t="shared" si="148"/>
        <v>2640</v>
      </c>
      <c r="D166">
        <f t="shared" si="149"/>
        <v>114</v>
      </c>
      <c r="E166" s="6">
        <f t="shared" si="145"/>
        <v>50</v>
      </c>
      <c r="F166">
        <f t="shared" si="146"/>
        <v>19</v>
      </c>
      <c r="H166">
        <f>VLOOKUP(D166+1,nc,5,TRUE)</f>
        <v>18</v>
      </c>
      <c r="I166">
        <f>VLOOKUP(E166,nc,5,TRUE)</f>
        <v>15</v>
      </c>
      <c r="K166">
        <f t="shared" si="150"/>
        <v>113</v>
      </c>
      <c r="L166">
        <f>VLOOKUP(K166,nc,2,FALSE)</f>
        <v>1689</v>
      </c>
      <c r="M166">
        <f t="shared" si="151"/>
        <v>51</v>
      </c>
      <c r="N166">
        <f>VLOOKUP(M166,nc,2,FALSE)</f>
        <v>635</v>
      </c>
      <c r="O166">
        <f t="shared" si="152"/>
        <v>2641</v>
      </c>
      <c r="Q166">
        <f t="shared" si="153"/>
        <v>114</v>
      </c>
      <c r="R166">
        <f>VLOOKUP(Q166,nc,2,FALSE)</f>
        <v>1707</v>
      </c>
      <c r="S166">
        <f t="shared" si="154"/>
        <v>50</v>
      </c>
      <c r="T166">
        <f>VLOOKUP(S166,nc,2,FALSE)</f>
        <v>619</v>
      </c>
      <c r="U166">
        <f t="shared" si="155"/>
        <v>2640</v>
      </c>
      <c r="W166">
        <f t="shared" si="156"/>
        <v>16</v>
      </c>
      <c r="X166">
        <f t="shared" si="157"/>
        <v>15</v>
      </c>
    </row>
    <row r="167" spans="2:24" x14ac:dyDescent="0.25">
      <c r="B167">
        <f t="shared" si="143"/>
        <v>165</v>
      </c>
      <c r="C167">
        <f t="shared" si="148"/>
        <v>2659</v>
      </c>
      <c r="D167">
        <f t="shared" si="149"/>
        <v>115</v>
      </c>
      <c r="E167" s="6">
        <f t="shared" si="145"/>
        <v>50</v>
      </c>
      <c r="F167">
        <f t="shared" si="146"/>
        <v>19</v>
      </c>
      <c r="H167">
        <f>VLOOKUP(D167+1,nc,5,TRUE)</f>
        <v>18</v>
      </c>
      <c r="I167">
        <f>VLOOKUP(E167,nc,5,TRUE)</f>
        <v>15</v>
      </c>
      <c r="K167">
        <f t="shared" si="150"/>
        <v>114</v>
      </c>
      <c r="L167">
        <f>VLOOKUP(K167,nc,2,FALSE)</f>
        <v>1707</v>
      </c>
      <c r="M167">
        <f t="shared" si="151"/>
        <v>51</v>
      </c>
      <c r="N167">
        <f>VLOOKUP(M167,nc,2,FALSE)</f>
        <v>635</v>
      </c>
      <c r="O167">
        <f t="shared" si="152"/>
        <v>2660</v>
      </c>
      <c r="Q167">
        <f t="shared" si="153"/>
        <v>115</v>
      </c>
      <c r="R167">
        <f>VLOOKUP(Q167,nc,2,FALSE)</f>
        <v>1725</v>
      </c>
      <c r="S167">
        <f t="shared" si="154"/>
        <v>50</v>
      </c>
      <c r="T167">
        <f>VLOOKUP(S167,nc,2,FALSE)</f>
        <v>619</v>
      </c>
      <c r="U167">
        <f t="shared" si="155"/>
        <v>2659</v>
      </c>
      <c r="W167">
        <f t="shared" si="156"/>
        <v>16</v>
      </c>
      <c r="X167">
        <f t="shared" si="157"/>
        <v>15</v>
      </c>
    </row>
    <row r="168" spans="2:24" x14ac:dyDescent="0.25">
      <c r="B168">
        <f t="shared" si="143"/>
        <v>166</v>
      </c>
      <c r="C168">
        <f t="shared" si="148"/>
        <v>2678</v>
      </c>
      <c r="D168">
        <f t="shared" si="149"/>
        <v>116</v>
      </c>
      <c r="E168" s="6">
        <f t="shared" si="145"/>
        <v>50</v>
      </c>
      <c r="F168">
        <f t="shared" si="146"/>
        <v>19</v>
      </c>
      <c r="H168">
        <f>VLOOKUP(D168+1,nc,5,TRUE)</f>
        <v>18</v>
      </c>
      <c r="I168">
        <f>VLOOKUP(E168,nc,5,TRUE)</f>
        <v>15</v>
      </c>
      <c r="K168">
        <f t="shared" si="150"/>
        <v>115</v>
      </c>
      <c r="L168">
        <f>VLOOKUP(K168,nc,2,FALSE)</f>
        <v>1725</v>
      </c>
      <c r="M168">
        <f t="shared" si="151"/>
        <v>51</v>
      </c>
      <c r="N168">
        <f>VLOOKUP(M168,nc,2,FALSE)</f>
        <v>635</v>
      </c>
      <c r="O168">
        <f t="shared" si="152"/>
        <v>2679</v>
      </c>
      <c r="Q168">
        <f t="shared" si="153"/>
        <v>116</v>
      </c>
      <c r="R168">
        <f>VLOOKUP(Q168,nc,2,FALSE)</f>
        <v>1743</v>
      </c>
      <c r="S168">
        <f t="shared" si="154"/>
        <v>50</v>
      </c>
      <c r="T168">
        <f>VLOOKUP(S168,nc,2,FALSE)</f>
        <v>619</v>
      </c>
      <c r="U168">
        <f t="shared" si="155"/>
        <v>2678</v>
      </c>
      <c r="W168">
        <f t="shared" si="156"/>
        <v>16</v>
      </c>
      <c r="X168">
        <f t="shared" si="157"/>
        <v>15</v>
      </c>
    </row>
    <row r="169" spans="2:24" x14ac:dyDescent="0.25">
      <c r="B169">
        <f t="shared" si="143"/>
        <v>167</v>
      </c>
      <c r="C169">
        <f t="shared" si="148"/>
        <v>2697</v>
      </c>
      <c r="D169">
        <f t="shared" si="149"/>
        <v>117</v>
      </c>
      <c r="E169" s="6">
        <f t="shared" si="145"/>
        <v>50</v>
      </c>
      <c r="F169">
        <f t="shared" si="146"/>
        <v>19</v>
      </c>
      <c r="H169">
        <f>VLOOKUP(D169+1,nc,5,TRUE)</f>
        <v>18</v>
      </c>
      <c r="I169">
        <f>VLOOKUP(E169,nc,5,TRUE)</f>
        <v>15</v>
      </c>
      <c r="K169">
        <f t="shared" si="150"/>
        <v>116</v>
      </c>
      <c r="L169">
        <f>VLOOKUP(K169,nc,2,FALSE)</f>
        <v>1743</v>
      </c>
      <c r="M169">
        <f t="shared" si="151"/>
        <v>51</v>
      </c>
      <c r="N169">
        <f>VLOOKUP(M169,nc,2,FALSE)</f>
        <v>635</v>
      </c>
      <c r="O169">
        <f t="shared" si="152"/>
        <v>2698</v>
      </c>
      <c r="Q169">
        <f t="shared" si="153"/>
        <v>117</v>
      </c>
      <c r="R169">
        <f>VLOOKUP(Q169,nc,2,FALSE)</f>
        <v>1761</v>
      </c>
      <c r="S169">
        <f t="shared" si="154"/>
        <v>50</v>
      </c>
      <c r="T169">
        <f>VLOOKUP(S169,nc,2,FALSE)</f>
        <v>619</v>
      </c>
      <c r="U169">
        <f t="shared" si="155"/>
        <v>2697</v>
      </c>
      <c r="W169">
        <f t="shared" si="156"/>
        <v>16</v>
      </c>
      <c r="X169">
        <f t="shared" si="157"/>
        <v>15</v>
      </c>
    </row>
    <row r="170" spans="2:24" x14ac:dyDescent="0.25">
      <c r="B170">
        <f t="shared" si="143"/>
        <v>168</v>
      </c>
      <c r="C170">
        <f t="shared" si="148"/>
        <v>2716</v>
      </c>
      <c r="D170">
        <f t="shared" si="149"/>
        <v>118</v>
      </c>
      <c r="E170" s="6">
        <f t="shared" si="145"/>
        <v>50</v>
      </c>
      <c r="F170">
        <f t="shared" si="146"/>
        <v>19</v>
      </c>
      <c r="H170">
        <f>VLOOKUP(D170+1,nc,5,TRUE)</f>
        <v>18</v>
      </c>
      <c r="I170">
        <f>VLOOKUP(E170,nc,5,TRUE)</f>
        <v>15</v>
      </c>
      <c r="K170">
        <f t="shared" si="150"/>
        <v>117</v>
      </c>
      <c r="L170">
        <f>VLOOKUP(K170,nc,2,FALSE)</f>
        <v>1761</v>
      </c>
      <c r="M170">
        <f t="shared" si="151"/>
        <v>51</v>
      </c>
      <c r="N170">
        <f>VLOOKUP(M170,nc,2,FALSE)</f>
        <v>635</v>
      </c>
      <c r="O170">
        <f t="shared" si="152"/>
        <v>2717</v>
      </c>
      <c r="Q170">
        <f t="shared" si="153"/>
        <v>118</v>
      </c>
      <c r="R170">
        <f>VLOOKUP(Q170,nc,2,FALSE)</f>
        <v>1779</v>
      </c>
      <c r="S170">
        <f t="shared" si="154"/>
        <v>50</v>
      </c>
      <c r="T170">
        <f>VLOOKUP(S170,nc,2,FALSE)</f>
        <v>619</v>
      </c>
      <c r="U170">
        <f t="shared" si="155"/>
        <v>2716</v>
      </c>
      <c r="W170">
        <f t="shared" si="156"/>
        <v>16</v>
      </c>
      <c r="X170">
        <f t="shared" si="157"/>
        <v>15</v>
      </c>
    </row>
    <row r="171" spans="2:24" x14ac:dyDescent="0.25">
      <c r="B171">
        <f t="shared" si="143"/>
        <v>169</v>
      </c>
      <c r="C171">
        <f t="shared" si="148"/>
        <v>2735</v>
      </c>
      <c r="D171">
        <f t="shared" si="149"/>
        <v>119</v>
      </c>
      <c r="E171" s="6">
        <f t="shared" si="145"/>
        <v>50</v>
      </c>
      <c r="F171">
        <f t="shared" si="146"/>
        <v>19</v>
      </c>
      <c r="H171">
        <f>VLOOKUP(D171+1,nc,5,TRUE)</f>
        <v>18</v>
      </c>
      <c r="I171">
        <f>VLOOKUP(E171,nc,5,TRUE)</f>
        <v>15</v>
      </c>
      <c r="K171">
        <f t="shared" si="150"/>
        <v>118</v>
      </c>
      <c r="L171">
        <f>VLOOKUP(K171,nc,2,FALSE)</f>
        <v>1779</v>
      </c>
      <c r="M171">
        <f t="shared" si="151"/>
        <v>51</v>
      </c>
      <c r="N171">
        <f>VLOOKUP(M171,nc,2,FALSE)</f>
        <v>635</v>
      </c>
      <c r="O171">
        <f t="shared" si="152"/>
        <v>2736</v>
      </c>
      <c r="Q171">
        <f t="shared" si="153"/>
        <v>119</v>
      </c>
      <c r="R171">
        <f>VLOOKUP(Q171,nc,2,FALSE)</f>
        <v>1797</v>
      </c>
      <c r="S171">
        <f t="shared" si="154"/>
        <v>50</v>
      </c>
      <c r="T171">
        <f>VLOOKUP(S171,nc,2,FALSE)</f>
        <v>619</v>
      </c>
      <c r="U171">
        <f t="shared" si="155"/>
        <v>2735</v>
      </c>
      <c r="W171">
        <f t="shared" si="156"/>
        <v>16</v>
      </c>
      <c r="X171">
        <f t="shared" si="157"/>
        <v>15</v>
      </c>
    </row>
    <row r="172" spans="2:24" x14ac:dyDescent="0.25">
      <c r="B172">
        <f t="shared" si="143"/>
        <v>170</v>
      </c>
      <c r="C172">
        <f t="shared" si="148"/>
        <v>2754</v>
      </c>
      <c r="D172">
        <f t="shared" si="149"/>
        <v>120</v>
      </c>
      <c r="E172" s="6">
        <f t="shared" si="145"/>
        <v>50</v>
      </c>
      <c r="F172">
        <f t="shared" si="146"/>
        <v>19</v>
      </c>
      <c r="H172">
        <f>VLOOKUP(D172+1,nc,5,TRUE)</f>
        <v>18</v>
      </c>
      <c r="I172">
        <f>VLOOKUP(E172,nc,5,TRUE)</f>
        <v>15</v>
      </c>
      <c r="K172">
        <f t="shared" si="150"/>
        <v>119</v>
      </c>
      <c r="L172">
        <f>VLOOKUP(K172,nc,2,FALSE)</f>
        <v>1797</v>
      </c>
      <c r="M172">
        <f t="shared" si="151"/>
        <v>51</v>
      </c>
      <c r="N172">
        <f>VLOOKUP(M172,nc,2,FALSE)</f>
        <v>635</v>
      </c>
      <c r="O172">
        <f t="shared" si="152"/>
        <v>2755</v>
      </c>
      <c r="Q172">
        <f t="shared" si="153"/>
        <v>120</v>
      </c>
      <c r="R172">
        <f>VLOOKUP(Q172,nc,2,FALSE)</f>
        <v>1815</v>
      </c>
      <c r="S172">
        <f t="shared" si="154"/>
        <v>50</v>
      </c>
      <c r="T172">
        <f>VLOOKUP(S172,nc,2,FALSE)</f>
        <v>619</v>
      </c>
      <c r="U172">
        <f t="shared" si="155"/>
        <v>2754</v>
      </c>
      <c r="W172">
        <f t="shared" si="156"/>
        <v>16</v>
      </c>
      <c r="X172">
        <f t="shared" si="157"/>
        <v>15</v>
      </c>
    </row>
    <row r="173" spans="2:24" x14ac:dyDescent="0.25">
      <c r="B173">
        <f t="shared" si="143"/>
        <v>171</v>
      </c>
      <c r="C173">
        <f t="shared" si="148"/>
        <v>2773</v>
      </c>
      <c r="D173">
        <f t="shared" si="149"/>
        <v>121</v>
      </c>
      <c r="E173" s="6">
        <f t="shared" si="145"/>
        <v>50</v>
      </c>
      <c r="F173">
        <f t="shared" si="146"/>
        <v>19</v>
      </c>
      <c r="H173">
        <f>VLOOKUP(D173+1,nc,5,TRUE)</f>
        <v>18</v>
      </c>
      <c r="I173">
        <f>VLOOKUP(E173,nc,5,TRUE)</f>
        <v>15</v>
      </c>
      <c r="K173">
        <f t="shared" si="150"/>
        <v>120</v>
      </c>
      <c r="L173">
        <f>VLOOKUP(K173,nc,2,FALSE)</f>
        <v>1815</v>
      </c>
      <c r="M173">
        <f t="shared" si="151"/>
        <v>51</v>
      </c>
      <c r="N173">
        <f>VLOOKUP(M173,nc,2,FALSE)</f>
        <v>635</v>
      </c>
      <c r="O173">
        <f t="shared" si="152"/>
        <v>2774</v>
      </c>
      <c r="Q173">
        <f t="shared" si="153"/>
        <v>121</v>
      </c>
      <c r="R173">
        <f>VLOOKUP(Q173,nc,2,FALSE)</f>
        <v>1833</v>
      </c>
      <c r="S173">
        <f t="shared" si="154"/>
        <v>50</v>
      </c>
      <c r="T173">
        <f>VLOOKUP(S173,nc,2,FALSE)</f>
        <v>619</v>
      </c>
      <c r="U173">
        <f t="shared" si="155"/>
        <v>2773</v>
      </c>
      <c r="W173">
        <f t="shared" si="156"/>
        <v>16</v>
      </c>
      <c r="X173">
        <f t="shared" si="157"/>
        <v>15</v>
      </c>
    </row>
    <row r="174" spans="2:24" x14ac:dyDescent="0.25">
      <c r="B174">
        <f t="shared" si="143"/>
        <v>172</v>
      </c>
      <c r="C174">
        <f t="shared" si="148"/>
        <v>2792</v>
      </c>
      <c r="D174">
        <f t="shared" si="149"/>
        <v>122</v>
      </c>
      <c r="E174" s="6">
        <f t="shared" si="145"/>
        <v>50</v>
      </c>
      <c r="F174">
        <f t="shared" si="146"/>
        <v>19</v>
      </c>
      <c r="H174">
        <f>VLOOKUP(D174+1,nc,5,TRUE)</f>
        <v>18</v>
      </c>
      <c r="I174">
        <f>VLOOKUP(E174,nc,5,TRUE)</f>
        <v>15</v>
      </c>
      <c r="K174">
        <f t="shared" si="150"/>
        <v>121</v>
      </c>
      <c r="L174">
        <f>VLOOKUP(K174,nc,2,FALSE)</f>
        <v>1833</v>
      </c>
      <c r="M174">
        <f t="shared" si="151"/>
        <v>51</v>
      </c>
      <c r="N174">
        <f>VLOOKUP(M174,nc,2,FALSE)</f>
        <v>635</v>
      </c>
      <c r="O174">
        <f t="shared" si="152"/>
        <v>2793</v>
      </c>
      <c r="Q174">
        <f t="shared" si="153"/>
        <v>122</v>
      </c>
      <c r="R174">
        <f>VLOOKUP(Q174,nc,2,FALSE)</f>
        <v>1851</v>
      </c>
      <c r="S174">
        <f t="shared" si="154"/>
        <v>50</v>
      </c>
      <c r="T174">
        <f>VLOOKUP(S174,nc,2,FALSE)</f>
        <v>619</v>
      </c>
      <c r="U174">
        <f t="shared" si="155"/>
        <v>2792</v>
      </c>
      <c r="W174">
        <f t="shared" si="156"/>
        <v>16</v>
      </c>
      <c r="X174">
        <f t="shared" si="157"/>
        <v>15</v>
      </c>
    </row>
    <row r="175" spans="2:24" x14ac:dyDescent="0.25">
      <c r="B175">
        <f t="shared" si="143"/>
        <v>173</v>
      </c>
      <c r="C175">
        <f t="shared" si="148"/>
        <v>2811</v>
      </c>
      <c r="D175">
        <f t="shared" si="149"/>
        <v>123</v>
      </c>
      <c r="E175" s="6">
        <f t="shared" si="145"/>
        <v>50</v>
      </c>
      <c r="F175">
        <f t="shared" si="146"/>
        <v>19</v>
      </c>
      <c r="H175">
        <f>VLOOKUP(D175+1,nc,5,TRUE)</f>
        <v>18</v>
      </c>
      <c r="I175">
        <f>VLOOKUP(E175,nc,5,TRUE)</f>
        <v>15</v>
      </c>
      <c r="K175">
        <f t="shared" si="150"/>
        <v>122</v>
      </c>
      <c r="L175">
        <f>VLOOKUP(K175,nc,2,FALSE)</f>
        <v>1851</v>
      </c>
      <c r="M175">
        <f t="shared" si="151"/>
        <v>51</v>
      </c>
      <c r="N175">
        <f>VLOOKUP(M175,nc,2,FALSE)</f>
        <v>635</v>
      </c>
      <c r="O175">
        <f t="shared" si="152"/>
        <v>2812</v>
      </c>
      <c r="Q175">
        <f t="shared" si="153"/>
        <v>123</v>
      </c>
      <c r="R175">
        <f>VLOOKUP(Q175,nc,2,FALSE)</f>
        <v>1869</v>
      </c>
      <c r="S175">
        <f t="shared" si="154"/>
        <v>50</v>
      </c>
      <c r="T175">
        <f>VLOOKUP(S175,nc,2,FALSE)</f>
        <v>619</v>
      </c>
      <c r="U175">
        <f t="shared" si="155"/>
        <v>2811</v>
      </c>
      <c r="W175">
        <f t="shared" si="156"/>
        <v>16</v>
      </c>
      <c r="X175">
        <f t="shared" si="157"/>
        <v>15</v>
      </c>
    </row>
    <row r="176" spans="2:24" x14ac:dyDescent="0.25">
      <c r="B176">
        <f t="shared" si="143"/>
        <v>174</v>
      </c>
      <c r="C176">
        <f t="shared" si="148"/>
        <v>2830</v>
      </c>
      <c r="D176">
        <f t="shared" si="149"/>
        <v>124</v>
      </c>
      <c r="E176" s="6">
        <f t="shared" si="145"/>
        <v>50</v>
      </c>
      <c r="F176">
        <f t="shared" si="146"/>
        <v>19</v>
      </c>
      <c r="H176">
        <f>VLOOKUP(D176+1,nc,5,TRUE)</f>
        <v>18</v>
      </c>
      <c r="I176">
        <f>VLOOKUP(E176,nc,5,TRUE)</f>
        <v>15</v>
      </c>
      <c r="K176">
        <f t="shared" si="150"/>
        <v>123</v>
      </c>
      <c r="L176">
        <f>VLOOKUP(K176,nc,2,FALSE)</f>
        <v>1869</v>
      </c>
      <c r="M176">
        <f t="shared" si="151"/>
        <v>51</v>
      </c>
      <c r="N176">
        <f>VLOOKUP(M176,nc,2,FALSE)</f>
        <v>635</v>
      </c>
      <c r="O176">
        <f t="shared" si="152"/>
        <v>2831</v>
      </c>
      <c r="Q176">
        <f t="shared" si="153"/>
        <v>124</v>
      </c>
      <c r="R176">
        <f>VLOOKUP(Q176,nc,2,FALSE)</f>
        <v>1887</v>
      </c>
      <c r="S176">
        <f t="shared" si="154"/>
        <v>50</v>
      </c>
      <c r="T176">
        <f>VLOOKUP(S176,nc,2,FALSE)</f>
        <v>619</v>
      </c>
      <c r="U176">
        <f t="shared" si="155"/>
        <v>2830</v>
      </c>
      <c r="W176">
        <f t="shared" si="156"/>
        <v>16</v>
      </c>
      <c r="X176">
        <f t="shared" si="157"/>
        <v>15</v>
      </c>
    </row>
    <row r="177" spans="2:24" x14ac:dyDescent="0.25">
      <c r="B177">
        <f t="shared" si="143"/>
        <v>175</v>
      </c>
      <c r="C177">
        <f t="shared" si="148"/>
        <v>2849</v>
      </c>
      <c r="D177">
        <f t="shared" si="149"/>
        <v>125</v>
      </c>
      <c r="E177" s="6">
        <f t="shared" si="145"/>
        <v>50</v>
      </c>
      <c r="F177">
        <f t="shared" si="146"/>
        <v>19</v>
      </c>
      <c r="H177">
        <f>VLOOKUP(D177+1,nc,5,TRUE)</f>
        <v>18</v>
      </c>
      <c r="I177">
        <f>VLOOKUP(E177,nc,5,TRUE)</f>
        <v>15</v>
      </c>
      <c r="K177">
        <f t="shared" si="150"/>
        <v>124</v>
      </c>
      <c r="L177">
        <f>VLOOKUP(K177,nc,2,FALSE)</f>
        <v>1887</v>
      </c>
      <c r="M177">
        <f t="shared" si="151"/>
        <v>51</v>
      </c>
      <c r="N177">
        <f>VLOOKUP(M177,nc,2,FALSE)</f>
        <v>635</v>
      </c>
      <c r="O177">
        <f t="shared" si="152"/>
        <v>2850</v>
      </c>
      <c r="Q177">
        <f t="shared" si="153"/>
        <v>125</v>
      </c>
      <c r="R177">
        <f>VLOOKUP(Q177,nc,2,FALSE)</f>
        <v>1905</v>
      </c>
      <c r="S177">
        <f t="shared" si="154"/>
        <v>50</v>
      </c>
      <c r="T177">
        <f>VLOOKUP(S177,nc,2,FALSE)</f>
        <v>619</v>
      </c>
      <c r="U177">
        <f t="shared" si="155"/>
        <v>2849</v>
      </c>
      <c r="W177">
        <f t="shared" si="156"/>
        <v>16</v>
      </c>
      <c r="X177">
        <f t="shared" si="157"/>
        <v>15</v>
      </c>
    </row>
    <row r="178" spans="2:24" x14ac:dyDescent="0.25">
      <c r="B178">
        <f t="shared" si="143"/>
        <v>176</v>
      </c>
      <c r="C178">
        <f t="shared" si="148"/>
        <v>2868</v>
      </c>
      <c r="D178">
        <f t="shared" si="149"/>
        <v>126</v>
      </c>
      <c r="E178" s="6">
        <f t="shared" si="145"/>
        <v>50</v>
      </c>
      <c r="F178">
        <f t="shared" si="146"/>
        <v>19</v>
      </c>
      <c r="H178">
        <f>VLOOKUP(D178+1,nc,5,TRUE)</f>
        <v>18</v>
      </c>
      <c r="I178">
        <f>VLOOKUP(E178,nc,5,TRUE)</f>
        <v>15</v>
      </c>
      <c r="K178">
        <f t="shared" si="150"/>
        <v>125</v>
      </c>
      <c r="L178">
        <f>VLOOKUP(K178,nc,2,FALSE)</f>
        <v>1905</v>
      </c>
      <c r="M178">
        <f t="shared" si="151"/>
        <v>51</v>
      </c>
      <c r="N178">
        <f>VLOOKUP(M178,nc,2,FALSE)</f>
        <v>635</v>
      </c>
      <c r="O178">
        <f t="shared" si="152"/>
        <v>2869</v>
      </c>
      <c r="Q178">
        <f t="shared" si="153"/>
        <v>126</v>
      </c>
      <c r="R178">
        <f>VLOOKUP(Q178,nc,2,FALSE)</f>
        <v>1923</v>
      </c>
      <c r="S178">
        <f t="shared" si="154"/>
        <v>50</v>
      </c>
      <c r="T178">
        <f>VLOOKUP(S178,nc,2,FALSE)</f>
        <v>619</v>
      </c>
      <c r="U178">
        <f t="shared" si="155"/>
        <v>2868</v>
      </c>
      <c r="W178">
        <f t="shared" si="156"/>
        <v>16</v>
      </c>
      <c r="X178">
        <f t="shared" si="157"/>
        <v>15</v>
      </c>
    </row>
    <row r="179" spans="2:24" x14ac:dyDescent="0.25">
      <c r="B179">
        <f t="shared" si="143"/>
        <v>177</v>
      </c>
      <c r="C179">
        <f t="shared" si="148"/>
        <v>2887</v>
      </c>
      <c r="D179">
        <f t="shared" si="149"/>
        <v>127</v>
      </c>
      <c r="E179" s="6">
        <f t="shared" si="145"/>
        <v>50</v>
      </c>
      <c r="F179">
        <f t="shared" si="146"/>
        <v>19</v>
      </c>
      <c r="H179">
        <f>VLOOKUP(D179+1,nc,5,TRUE)</f>
        <v>18</v>
      </c>
      <c r="I179">
        <f>VLOOKUP(E179,nc,5,TRUE)</f>
        <v>15</v>
      </c>
      <c r="K179">
        <f t="shared" si="150"/>
        <v>126</v>
      </c>
      <c r="L179">
        <f>VLOOKUP(K179,nc,2,FALSE)</f>
        <v>1923</v>
      </c>
      <c r="M179">
        <f t="shared" si="151"/>
        <v>51</v>
      </c>
      <c r="N179">
        <f>VLOOKUP(M179,nc,2,FALSE)</f>
        <v>635</v>
      </c>
      <c r="O179">
        <f t="shared" si="152"/>
        <v>2888</v>
      </c>
      <c r="Q179">
        <f t="shared" si="153"/>
        <v>127</v>
      </c>
      <c r="R179">
        <f>VLOOKUP(Q179,nc,2,FALSE)</f>
        <v>1941</v>
      </c>
      <c r="S179">
        <f t="shared" si="154"/>
        <v>50</v>
      </c>
      <c r="T179">
        <f>VLOOKUP(S179,nc,2,FALSE)</f>
        <v>619</v>
      </c>
      <c r="U179">
        <f t="shared" si="155"/>
        <v>2887</v>
      </c>
      <c r="W179">
        <f t="shared" si="156"/>
        <v>16</v>
      </c>
      <c r="X179">
        <f t="shared" si="157"/>
        <v>15</v>
      </c>
    </row>
    <row r="180" spans="2:24" x14ac:dyDescent="0.25">
      <c r="B180">
        <f t="shared" si="143"/>
        <v>178</v>
      </c>
      <c r="C180">
        <f t="shared" si="148"/>
        <v>2906</v>
      </c>
      <c r="D180">
        <f t="shared" si="149"/>
        <v>128</v>
      </c>
      <c r="E180" s="6">
        <f t="shared" si="145"/>
        <v>50</v>
      </c>
      <c r="F180">
        <f t="shared" si="146"/>
        <v>19</v>
      </c>
      <c r="H180">
        <f>VLOOKUP(D180+1,nc,5,TRUE)</f>
        <v>18</v>
      </c>
      <c r="I180">
        <f>VLOOKUP(E180,nc,5,TRUE)</f>
        <v>15</v>
      </c>
      <c r="K180">
        <f t="shared" si="150"/>
        <v>127</v>
      </c>
      <c r="L180">
        <f>VLOOKUP(K180,nc,2,FALSE)</f>
        <v>1941</v>
      </c>
      <c r="M180">
        <f t="shared" si="151"/>
        <v>51</v>
      </c>
      <c r="N180">
        <f>VLOOKUP(M180,nc,2,FALSE)</f>
        <v>635</v>
      </c>
      <c r="O180">
        <f t="shared" si="152"/>
        <v>2907</v>
      </c>
      <c r="Q180">
        <f t="shared" si="153"/>
        <v>128</v>
      </c>
      <c r="R180">
        <f>VLOOKUP(Q180,nc,2,FALSE)</f>
        <v>1959</v>
      </c>
      <c r="S180">
        <f t="shared" si="154"/>
        <v>50</v>
      </c>
      <c r="T180">
        <f>VLOOKUP(S180,nc,2,FALSE)</f>
        <v>619</v>
      </c>
      <c r="U180">
        <f t="shared" si="155"/>
        <v>2906</v>
      </c>
      <c r="W180">
        <f t="shared" si="156"/>
        <v>16</v>
      </c>
      <c r="X180">
        <f t="shared" si="157"/>
        <v>15</v>
      </c>
    </row>
    <row r="181" spans="2:24" x14ac:dyDescent="0.25">
      <c r="B181">
        <f t="shared" si="143"/>
        <v>179</v>
      </c>
      <c r="C181">
        <f t="shared" si="148"/>
        <v>2925</v>
      </c>
      <c r="D181">
        <f t="shared" si="149"/>
        <v>129</v>
      </c>
      <c r="E181" s="6">
        <f t="shared" si="145"/>
        <v>50</v>
      </c>
      <c r="F181">
        <f t="shared" si="146"/>
        <v>19</v>
      </c>
      <c r="H181">
        <f>VLOOKUP(D181+1,nc,5,TRUE)</f>
        <v>18</v>
      </c>
      <c r="I181">
        <f>VLOOKUP(E181,nc,5,TRUE)</f>
        <v>15</v>
      </c>
      <c r="K181">
        <f t="shared" si="150"/>
        <v>128</v>
      </c>
      <c r="L181">
        <f>VLOOKUP(K181,nc,2,FALSE)</f>
        <v>1959</v>
      </c>
      <c r="M181">
        <f t="shared" si="151"/>
        <v>51</v>
      </c>
      <c r="N181">
        <f>VLOOKUP(M181,nc,2,FALSE)</f>
        <v>635</v>
      </c>
      <c r="O181">
        <f t="shared" si="152"/>
        <v>2926</v>
      </c>
      <c r="Q181">
        <f t="shared" si="153"/>
        <v>129</v>
      </c>
      <c r="R181">
        <f>VLOOKUP(Q181,nc,2,FALSE)</f>
        <v>1977</v>
      </c>
      <c r="S181">
        <f t="shared" si="154"/>
        <v>50</v>
      </c>
      <c r="T181">
        <f>VLOOKUP(S181,nc,2,FALSE)</f>
        <v>619</v>
      </c>
      <c r="U181">
        <f t="shared" si="155"/>
        <v>2925</v>
      </c>
      <c r="W181">
        <f t="shared" si="156"/>
        <v>16</v>
      </c>
      <c r="X181">
        <f t="shared" si="157"/>
        <v>15</v>
      </c>
    </row>
    <row r="182" spans="2:24" x14ac:dyDescent="0.25">
      <c r="B182">
        <f t="shared" si="143"/>
        <v>180</v>
      </c>
      <c r="C182">
        <f t="shared" si="148"/>
        <v>2944</v>
      </c>
      <c r="D182">
        <f t="shared" si="149"/>
        <v>130</v>
      </c>
      <c r="E182" s="6">
        <f t="shared" si="145"/>
        <v>50</v>
      </c>
      <c r="F182">
        <f t="shared" si="146"/>
        <v>19</v>
      </c>
      <c r="H182">
        <f>VLOOKUP(D182+1,nc,5,TRUE)</f>
        <v>18</v>
      </c>
      <c r="I182">
        <f>VLOOKUP(E182,nc,5,TRUE)</f>
        <v>15</v>
      </c>
      <c r="K182">
        <f t="shared" si="150"/>
        <v>129</v>
      </c>
      <c r="L182">
        <f>VLOOKUP(K182,nc,2,FALSE)</f>
        <v>1977</v>
      </c>
      <c r="M182">
        <f t="shared" si="151"/>
        <v>51</v>
      </c>
      <c r="N182">
        <f>VLOOKUP(M182,nc,2,FALSE)</f>
        <v>635</v>
      </c>
      <c r="O182">
        <f t="shared" si="152"/>
        <v>2945</v>
      </c>
      <c r="Q182">
        <f t="shared" si="153"/>
        <v>130</v>
      </c>
      <c r="R182">
        <f>VLOOKUP(Q182,nc,2,FALSE)</f>
        <v>1995</v>
      </c>
      <c r="S182">
        <f t="shared" si="154"/>
        <v>50</v>
      </c>
      <c r="T182">
        <f>VLOOKUP(S182,nc,2,FALSE)</f>
        <v>619</v>
      </c>
      <c r="U182">
        <f t="shared" si="155"/>
        <v>2944</v>
      </c>
      <c r="W182">
        <f t="shared" si="156"/>
        <v>16</v>
      </c>
      <c r="X182">
        <f t="shared" si="157"/>
        <v>15</v>
      </c>
    </row>
    <row r="183" spans="2:24" x14ac:dyDescent="0.25">
      <c r="B183">
        <f t="shared" si="143"/>
        <v>181</v>
      </c>
      <c r="C183">
        <f t="shared" si="148"/>
        <v>2963</v>
      </c>
      <c r="D183">
        <f t="shared" si="149"/>
        <v>131</v>
      </c>
      <c r="E183" s="6">
        <f t="shared" si="145"/>
        <v>50</v>
      </c>
      <c r="F183">
        <f t="shared" si="146"/>
        <v>19</v>
      </c>
      <c r="H183">
        <f>VLOOKUP(D183+1,nc,5,TRUE)</f>
        <v>19</v>
      </c>
      <c r="I183">
        <f>VLOOKUP(E183,nc,5,TRUE)</f>
        <v>15</v>
      </c>
      <c r="K183">
        <f t="shared" si="150"/>
        <v>130</v>
      </c>
      <c r="L183">
        <f>VLOOKUP(K183,nc,2,FALSE)</f>
        <v>1995</v>
      </c>
      <c r="M183">
        <f t="shared" si="151"/>
        <v>51</v>
      </c>
      <c r="N183">
        <f>VLOOKUP(M183,nc,2,FALSE)</f>
        <v>635</v>
      </c>
      <c r="O183">
        <f t="shared" si="152"/>
        <v>2964</v>
      </c>
      <c r="Q183">
        <f t="shared" si="153"/>
        <v>131</v>
      </c>
      <c r="R183">
        <f>VLOOKUP(Q183,nc,2,FALSE)</f>
        <v>2013</v>
      </c>
      <c r="S183">
        <f t="shared" si="154"/>
        <v>50</v>
      </c>
      <c r="T183">
        <f>VLOOKUP(S183,nc,2,FALSE)</f>
        <v>619</v>
      </c>
      <c r="U183">
        <f t="shared" si="155"/>
        <v>2963</v>
      </c>
      <c r="W183">
        <f t="shared" si="156"/>
        <v>16</v>
      </c>
      <c r="X183">
        <f t="shared" si="157"/>
        <v>15</v>
      </c>
    </row>
    <row r="184" spans="2:24" x14ac:dyDescent="0.25">
      <c r="B184" s="6">
        <f t="shared" si="143"/>
        <v>182</v>
      </c>
      <c r="C184" s="6">
        <f t="shared" si="148"/>
        <v>2983</v>
      </c>
      <c r="D184" s="6">
        <f t="shared" si="149"/>
        <v>131</v>
      </c>
      <c r="E184" s="6">
        <f t="shared" si="145"/>
        <v>51</v>
      </c>
      <c r="F184" s="6">
        <f t="shared" si="146"/>
        <v>20</v>
      </c>
      <c r="G184" s="6"/>
      <c r="H184" s="6">
        <f>VLOOKUP(D184+1,nc,5,TRUE)</f>
        <v>19</v>
      </c>
      <c r="I184" s="6">
        <f>VLOOKUP(E184,nc,5,TRUE)</f>
        <v>16</v>
      </c>
      <c r="J184" s="6"/>
      <c r="K184" s="6">
        <f t="shared" si="150"/>
        <v>131</v>
      </c>
      <c r="L184" s="6">
        <f>VLOOKUP(K184,nc,2,FALSE)</f>
        <v>2013</v>
      </c>
      <c r="M184" s="6">
        <f t="shared" si="151"/>
        <v>51</v>
      </c>
      <c r="N184" s="6">
        <f>VLOOKUP(M184,nc,2,FALSE)</f>
        <v>635</v>
      </c>
      <c r="O184" s="6">
        <f t="shared" si="152"/>
        <v>2983</v>
      </c>
      <c r="P184" s="6"/>
      <c r="Q184" s="6">
        <f t="shared" si="153"/>
        <v>132</v>
      </c>
      <c r="R184" s="6">
        <f>VLOOKUP(Q184,nc,2,FALSE)</f>
        <v>2032</v>
      </c>
      <c r="S184" s="6">
        <f t="shared" si="154"/>
        <v>50</v>
      </c>
      <c r="T184" s="6">
        <f>VLOOKUP(S184,nc,2,FALSE)</f>
        <v>619</v>
      </c>
      <c r="U184" s="6">
        <f t="shared" si="155"/>
        <v>2983</v>
      </c>
      <c r="V184" s="6"/>
      <c r="W184" s="6">
        <f t="shared" si="156"/>
        <v>16</v>
      </c>
      <c r="X184" s="6">
        <f t="shared" si="157"/>
        <v>16</v>
      </c>
    </row>
    <row r="185" spans="2:24" x14ac:dyDescent="0.25">
      <c r="B185">
        <f t="shared" si="143"/>
        <v>183</v>
      </c>
      <c r="C185">
        <f t="shared" si="148"/>
        <v>3003</v>
      </c>
      <c r="D185" s="6">
        <f t="shared" si="149"/>
        <v>131</v>
      </c>
      <c r="E185">
        <f t="shared" si="145"/>
        <v>52</v>
      </c>
      <c r="F185">
        <f t="shared" si="146"/>
        <v>20</v>
      </c>
      <c r="H185">
        <f>VLOOKUP(D185+1,nc,5,TRUE)</f>
        <v>19</v>
      </c>
      <c r="I185">
        <f>VLOOKUP(E185,nc,5,TRUE)</f>
        <v>16</v>
      </c>
      <c r="K185">
        <f t="shared" si="150"/>
        <v>131</v>
      </c>
      <c r="L185">
        <f>VLOOKUP(K185,nc,2,FALSE)</f>
        <v>2013</v>
      </c>
      <c r="M185">
        <f t="shared" si="151"/>
        <v>52</v>
      </c>
      <c r="N185">
        <f>VLOOKUP(M185,nc,2,FALSE)</f>
        <v>651</v>
      </c>
      <c r="O185">
        <f t="shared" si="152"/>
        <v>3003</v>
      </c>
      <c r="Q185">
        <f t="shared" si="153"/>
        <v>132</v>
      </c>
      <c r="R185">
        <f>VLOOKUP(Q185,nc,2,FALSE)</f>
        <v>2032</v>
      </c>
      <c r="S185">
        <f t="shared" si="154"/>
        <v>51</v>
      </c>
      <c r="T185">
        <f>VLOOKUP(S185,nc,2,FALSE)</f>
        <v>635</v>
      </c>
      <c r="U185">
        <f t="shared" si="155"/>
        <v>3003</v>
      </c>
      <c r="W185">
        <f t="shared" si="156"/>
        <v>16</v>
      </c>
      <c r="X185">
        <f t="shared" si="157"/>
        <v>16</v>
      </c>
    </row>
    <row r="186" spans="2:24" x14ac:dyDescent="0.25">
      <c r="B186">
        <f t="shared" si="143"/>
        <v>184</v>
      </c>
      <c r="C186">
        <f t="shared" si="148"/>
        <v>3023</v>
      </c>
      <c r="D186" s="6">
        <f t="shared" si="149"/>
        <v>131</v>
      </c>
      <c r="E186">
        <f t="shared" si="145"/>
        <v>53</v>
      </c>
      <c r="F186">
        <f t="shared" si="146"/>
        <v>20</v>
      </c>
      <c r="H186">
        <f>VLOOKUP(D186+1,nc,5,TRUE)</f>
        <v>19</v>
      </c>
      <c r="I186">
        <f>VLOOKUP(E186,nc,5,TRUE)</f>
        <v>16</v>
      </c>
      <c r="K186">
        <f t="shared" si="150"/>
        <v>131</v>
      </c>
      <c r="L186">
        <f>VLOOKUP(K186,nc,2,FALSE)</f>
        <v>2013</v>
      </c>
      <c r="M186">
        <f t="shared" si="151"/>
        <v>53</v>
      </c>
      <c r="N186">
        <f>VLOOKUP(M186,nc,2,FALSE)</f>
        <v>667</v>
      </c>
      <c r="O186">
        <f t="shared" si="152"/>
        <v>3023</v>
      </c>
      <c r="Q186">
        <f t="shared" si="153"/>
        <v>132</v>
      </c>
      <c r="R186">
        <f>VLOOKUP(Q186,nc,2,FALSE)</f>
        <v>2032</v>
      </c>
      <c r="S186">
        <f t="shared" si="154"/>
        <v>52</v>
      </c>
      <c r="T186">
        <f>VLOOKUP(S186,nc,2,FALSE)</f>
        <v>651</v>
      </c>
      <c r="U186">
        <f t="shared" si="155"/>
        <v>3023</v>
      </c>
      <c r="W186">
        <f t="shared" si="156"/>
        <v>16</v>
      </c>
      <c r="X186">
        <f t="shared" si="157"/>
        <v>16</v>
      </c>
    </row>
    <row r="187" spans="2:24" x14ac:dyDescent="0.25">
      <c r="B187">
        <f t="shared" si="143"/>
        <v>185</v>
      </c>
      <c r="C187">
        <f t="shared" si="148"/>
        <v>3043</v>
      </c>
      <c r="D187" s="6">
        <f t="shared" si="149"/>
        <v>131</v>
      </c>
      <c r="E187">
        <f t="shared" si="145"/>
        <v>54</v>
      </c>
      <c r="F187">
        <f t="shared" si="146"/>
        <v>20</v>
      </c>
      <c r="H187">
        <f>VLOOKUP(D187+1,nc,5,TRUE)</f>
        <v>19</v>
      </c>
      <c r="I187">
        <f>VLOOKUP(E187,nc,5,TRUE)</f>
        <v>16</v>
      </c>
      <c r="K187">
        <f t="shared" si="150"/>
        <v>131</v>
      </c>
      <c r="L187">
        <f>VLOOKUP(K187,nc,2,FALSE)</f>
        <v>2013</v>
      </c>
      <c r="M187">
        <f t="shared" si="151"/>
        <v>54</v>
      </c>
      <c r="N187">
        <f>VLOOKUP(M187,nc,2,FALSE)</f>
        <v>683</v>
      </c>
      <c r="O187">
        <f t="shared" si="152"/>
        <v>3043</v>
      </c>
      <c r="Q187">
        <f t="shared" si="153"/>
        <v>132</v>
      </c>
      <c r="R187">
        <f>VLOOKUP(Q187,nc,2,FALSE)</f>
        <v>2032</v>
      </c>
      <c r="S187">
        <f t="shared" si="154"/>
        <v>53</v>
      </c>
      <c r="T187">
        <f>VLOOKUP(S187,nc,2,FALSE)</f>
        <v>667</v>
      </c>
      <c r="U187">
        <f t="shared" si="155"/>
        <v>3043</v>
      </c>
      <c r="W187">
        <f t="shared" si="156"/>
        <v>16</v>
      </c>
      <c r="X187">
        <f t="shared" si="157"/>
        <v>16</v>
      </c>
    </row>
    <row r="188" spans="2:24" x14ac:dyDescent="0.25">
      <c r="B188">
        <f t="shared" si="143"/>
        <v>186</v>
      </c>
      <c r="C188">
        <f t="shared" si="148"/>
        <v>3063</v>
      </c>
      <c r="D188" s="6">
        <f t="shared" si="149"/>
        <v>131</v>
      </c>
      <c r="E188">
        <f t="shared" si="145"/>
        <v>55</v>
      </c>
      <c r="F188">
        <f t="shared" si="146"/>
        <v>20</v>
      </c>
      <c r="H188">
        <f>VLOOKUP(D188+1,nc,5,TRUE)</f>
        <v>19</v>
      </c>
      <c r="I188">
        <f>VLOOKUP(E188,nc,5,TRUE)</f>
        <v>16</v>
      </c>
      <c r="K188">
        <f t="shared" si="150"/>
        <v>131</v>
      </c>
      <c r="L188">
        <f>VLOOKUP(K188,nc,2,FALSE)</f>
        <v>2013</v>
      </c>
      <c r="M188">
        <f t="shared" si="151"/>
        <v>55</v>
      </c>
      <c r="N188">
        <f>VLOOKUP(M188,nc,2,FALSE)</f>
        <v>699</v>
      </c>
      <c r="O188">
        <f t="shared" si="152"/>
        <v>3063</v>
      </c>
      <c r="Q188">
        <f t="shared" si="153"/>
        <v>132</v>
      </c>
      <c r="R188">
        <f>VLOOKUP(Q188,nc,2,FALSE)</f>
        <v>2032</v>
      </c>
      <c r="S188">
        <f t="shared" si="154"/>
        <v>54</v>
      </c>
      <c r="T188">
        <f>VLOOKUP(S188,nc,2,FALSE)</f>
        <v>683</v>
      </c>
      <c r="U188">
        <f t="shared" si="155"/>
        <v>3063</v>
      </c>
      <c r="W188">
        <f t="shared" si="156"/>
        <v>16</v>
      </c>
      <c r="X188">
        <f t="shared" si="157"/>
        <v>16</v>
      </c>
    </row>
    <row r="189" spans="2:24" x14ac:dyDescent="0.25">
      <c r="B189">
        <f t="shared" si="143"/>
        <v>187</v>
      </c>
      <c r="C189">
        <f t="shared" si="148"/>
        <v>3083</v>
      </c>
      <c r="D189" s="6">
        <f t="shared" si="149"/>
        <v>131</v>
      </c>
      <c r="E189">
        <f t="shared" si="145"/>
        <v>56</v>
      </c>
      <c r="F189">
        <f t="shared" si="146"/>
        <v>20</v>
      </c>
      <c r="H189">
        <f>VLOOKUP(D189+1,nc,5,TRUE)</f>
        <v>19</v>
      </c>
      <c r="I189">
        <f>VLOOKUP(E189,nc,5,TRUE)</f>
        <v>16</v>
      </c>
      <c r="K189">
        <f t="shared" si="150"/>
        <v>131</v>
      </c>
      <c r="L189">
        <f>VLOOKUP(K189,nc,2,FALSE)</f>
        <v>2013</v>
      </c>
      <c r="M189">
        <f t="shared" si="151"/>
        <v>56</v>
      </c>
      <c r="N189">
        <f>VLOOKUP(M189,nc,2,FALSE)</f>
        <v>715</v>
      </c>
      <c r="O189">
        <f t="shared" si="152"/>
        <v>3083</v>
      </c>
      <c r="Q189">
        <f t="shared" si="153"/>
        <v>132</v>
      </c>
      <c r="R189">
        <f>VLOOKUP(Q189,nc,2,FALSE)</f>
        <v>2032</v>
      </c>
      <c r="S189">
        <f t="shared" si="154"/>
        <v>55</v>
      </c>
      <c r="T189">
        <f>VLOOKUP(S189,nc,2,FALSE)</f>
        <v>699</v>
      </c>
      <c r="U189">
        <f t="shared" si="155"/>
        <v>3083</v>
      </c>
      <c r="W189">
        <f t="shared" si="156"/>
        <v>16</v>
      </c>
      <c r="X189">
        <f t="shared" si="157"/>
        <v>16</v>
      </c>
    </row>
    <row r="190" spans="2:24" x14ac:dyDescent="0.25">
      <c r="B190">
        <f t="shared" si="143"/>
        <v>188</v>
      </c>
      <c r="C190">
        <f t="shared" si="148"/>
        <v>3103</v>
      </c>
      <c r="D190" s="6">
        <f t="shared" si="149"/>
        <v>131</v>
      </c>
      <c r="E190">
        <f t="shared" si="145"/>
        <v>57</v>
      </c>
      <c r="F190">
        <f t="shared" si="146"/>
        <v>20</v>
      </c>
      <c r="H190">
        <f>VLOOKUP(D190+1,nc,5,TRUE)</f>
        <v>19</v>
      </c>
      <c r="I190">
        <f>VLOOKUP(E190,nc,5,TRUE)</f>
        <v>16</v>
      </c>
      <c r="K190">
        <f t="shared" si="150"/>
        <v>131</v>
      </c>
      <c r="L190">
        <f>VLOOKUP(K190,nc,2,FALSE)</f>
        <v>2013</v>
      </c>
      <c r="M190">
        <f t="shared" si="151"/>
        <v>57</v>
      </c>
      <c r="N190">
        <f>VLOOKUP(M190,nc,2,FALSE)</f>
        <v>731</v>
      </c>
      <c r="O190">
        <f t="shared" si="152"/>
        <v>3103</v>
      </c>
      <c r="Q190">
        <f t="shared" si="153"/>
        <v>132</v>
      </c>
      <c r="R190">
        <f>VLOOKUP(Q190,nc,2,FALSE)</f>
        <v>2032</v>
      </c>
      <c r="S190">
        <f t="shared" si="154"/>
        <v>56</v>
      </c>
      <c r="T190">
        <f>VLOOKUP(S190,nc,2,FALSE)</f>
        <v>715</v>
      </c>
      <c r="U190">
        <f t="shared" si="155"/>
        <v>3103</v>
      </c>
      <c r="W190">
        <f t="shared" si="156"/>
        <v>16</v>
      </c>
      <c r="X190">
        <f t="shared" si="157"/>
        <v>16</v>
      </c>
    </row>
    <row r="191" spans="2:24" x14ac:dyDescent="0.25">
      <c r="B191">
        <f t="shared" si="143"/>
        <v>189</v>
      </c>
      <c r="C191">
        <f t="shared" si="148"/>
        <v>3123</v>
      </c>
      <c r="D191" s="6">
        <f t="shared" si="149"/>
        <v>131</v>
      </c>
      <c r="E191">
        <f t="shared" si="145"/>
        <v>58</v>
      </c>
      <c r="F191">
        <f t="shared" si="146"/>
        <v>20</v>
      </c>
      <c r="H191">
        <f>VLOOKUP(D191+1,nc,5,TRUE)</f>
        <v>19</v>
      </c>
      <c r="I191">
        <f>VLOOKUP(E191,nc,5,TRUE)</f>
        <v>16</v>
      </c>
      <c r="K191">
        <f t="shared" si="150"/>
        <v>131</v>
      </c>
      <c r="L191">
        <f>VLOOKUP(K191,nc,2,FALSE)</f>
        <v>2013</v>
      </c>
      <c r="M191">
        <f t="shared" si="151"/>
        <v>58</v>
      </c>
      <c r="N191">
        <f>VLOOKUP(M191,nc,2,FALSE)</f>
        <v>747</v>
      </c>
      <c r="O191">
        <f t="shared" si="152"/>
        <v>3123</v>
      </c>
      <c r="Q191">
        <f t="shared" si="153"/>
        <v>132</v>
      </c>
      <c r="R191">
        <f>VLOOKUP(Q191,nc,2,FALSE)</f>
        <v>2032</v>
      </c>
      <c r="S191">
        <f t="shared" si="154"/>
        <v>57</v>
      </c>
      <c r="T191">
        <f>VLOOKUP(S191,nc,2,FALSE)</f>
        <v>731</v>
      </c>
      <c r="U191">
        <f t="shared" si="155"/>
        <v>3123</v>
      </c>
      <c r="W191">
        <f t="shared" si="156"/>
        <v>16</v>
      </c>
      <c r="X191">
        <f t="shared" si="157"/>
        <v>16</v>
      </c>
    </row>
    <row r="192" spans="2:24" x14ac:dyDescent="0.25">
      <c r="B192">
        <f t="shared" si="143"/>
        <v>190</v>
      </c>
      <c r="C192">
        <f t="shared" si="148"/>
        <v>3143</v>
      </c>
      <c r="D192" s="6">
        <f t="shared" si="149"/>
        <v>131</v>
      </c>
      <c r="E192">
        <f t="shared" si="145"/>
        <v>59</v>
      </c>
      <c r="F192">
        <f t="shared" si="146"/>
        <v>20</v>
      </c>
      <c r="H192">
        <f>VLOOKUP(D192+1,nc,5,TRUE)</f>
        <v>19</v>
      </c>
      <c r="I192">
        <f>VLOOKUP(E192,nc,5,TRUE)</f>
        <v>16</v>
      </c>
      <c r="K192">
        <f t="shared" si="150"/>
        <v>131</v>
      </c>
      <c r="L192">
        <f>VLOOKUP(K192,nc,2,FALSE)</f>
        <v>2013</v>
      </c>
      <c r="M192">
        <f t="shared" si="151"/>
        <v>59</v>
      </c>
      <c r="N192">
        <f>VLOOKUP(M192,nc,2,FALSE)</f>
        <v>763</v>
      </c>
      <c r="O192">
        <f t="shared" si="152"/>
        <v>3143</v>
      </c>
      <c r="Q192">
        <f t="shared" si="153"/>
        <v>132</v>
      </c>
      <c r="R192">
        <f>VLOOKUP(Q192,nc,2,FALSE)</f>
        <v>2032</v>
      </c>
      <c r="S192">
        <f t="shared" si="154"/>
        <v>58</v>
      </c>
      <c r="T192">
        <f>VLOOKUP(S192,nc,2,FALSE)</f>
        <v>747</v>
      </c>
      <c r="U192">
        <f t="shared" si="155"/>
        <v>3143</v>
      </c>
      <c r="W192">
        <f t="shared" si="156"/>
        <v>16</v>
      </c>
      <c r="X192">
        <f t="shared" si="157"/>
        <v>16</v>
      </c>
    </row>
    <row r="193" spans="2:24" x14ac:dyDescent="0.25">
      <c r="B193">
        <f t="shared" si="143"/>
        <v>191</v>
      </c>
      <c r="C193">
        <f t="shared" si="148"/>
        <v>3163</v>
      </c>
      <c r="D193" s="6">
        <f t="shared" si="149"/>
        <v>131</v>
      </c>
      <c r="E193">
        <f t="shared" si="145"/>
        <v>60</v>
      </c>
      <c r="F193">
        <f t="shared" si="146"/>
        <v>20</v>
      </c>
      <c r="H193">
        <f>VLOOKUP(D193+1,nc,5,TRUE)</f>
        <v>19</v>
      </c>
      <c r="I193">
        <f>VLOOKUP(E193,nc,5,TRUE)</f>
        <v>16</v>
      </c>
      <c r="K193">
        <f t="shared" si="150"/>
        <v>131</v>
      </c>
      <c r="L193">
        <f>VLOOKUP(K193,nc,2,FALSE)</f>
        <v>2013</v>
      </c>
      <c r="M193">
        <f t="shared" si="151"/>
        <v>60</v>
      </c>
      <c r="N193">
        <f>VLOOKUP(M193,nc,2,FALSE)</f>
        <v>779</v>
      </c>
      <c r="O193">
        <f t="shared" si="152"/>
        <v>3163</v>
      </c>
      <c r="Q193">
        <f t="shared" si="153"/>
        <v>132</v>
      </c>
      <c r="R193">
        <f>VLOOKUP(Q193,nc,2,FALSE)</f>
        <v>2032</v>
      </c>
      <c r="S193">
        <f t="shared" si="154"/>
        <v>59</v>
      </c>
      <c r="T193">
        <f>VLOOKUP(S193,nc,2,FALSE)</f>
        <v>763</v>
      </c>
      <c r="U193">
        <f t="shared" si="155"/>
        <v>3163</v>
      </c>
      <c r="W193">
        <f t="shared" si="156"/>
        <v>16</v>
      </c>
      <c r="X193">
        <f t="shared" si="157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Sheet3</vt:lpstr>
      <vt:lpstr>n_to_dc</vt:lpstr>
      <vt:lpstr>nc</vt:lpstr>
      <vt:lpstr>ndc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Gilles</dc:creator>
  <cp:lastModifiedBy>Jordan Gilles</cp:lastModifiedBy>
  <dcterms:created xsi:type="dcterms:W3CDTF">2025-11-17T03:06:45Z</dcterms:created>
  <dcterms:modified xsi:type="dcterms:W3CDTF">2025-11-17T03:07:31Z</dcterms:modified>
</cp:coreProperties>
</file>